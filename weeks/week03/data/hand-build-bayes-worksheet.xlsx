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 start" sheetId="1" state="visible" r:id="rId1"/>
    <sheet xmlns:r="http://schemas.openxmlformats.org/officeDocument/2006/relationships" name="free throws" sheetId="2" state="visible" r:id="rId2"/>
    <sheet xmlns:r="http://schemas.openxmlformats.org/officeDocument/2006/relationships" name="yards per carry"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000"/>
  </numFmts>
  <fonts count="3">
    <font>
      <name val="Calibri"/>
      <family val="2"/>
      <color theme="1"/>
      <sz val="11"/>
      <scheme val="minor"/>
    </font>
    <font>
      <b val="1"/>
    </font>
    <font>
      <i val="1"/>
    </font>
  </fonts>
  <fills count="4">
    <fill>
      <patternFill/>
    </fill>
    <fill>
      <patternFill patternType="gray125"/>
    </fill>
    <fill>
      <patternFill patternType="solid">
        <fgColor rgb="00FFFF00"/>
      </patternFill>
    </fill>
    <fill>
      <patternFill patternType="solid">
        <fgColor rgb="00E7E6E6"/>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1" fillId="0" borderId="0" applyAlignment="1" pivotButton="0" quotePrefix="0" xfId="0">
      <alignment vertical="center" wrapText="1"/>
    </xf>
    <xf numFmtId="165" fontId="0" fillId="2" borderId="0" pivotButton="0" quotePrefix="0" xfId="0"/>
    <xf numFmtId="0" fontId="0" fillId="3" borderId="0" pivotButton="0" quotePrefix="0" xfId="0"/>
    <xf numFmtId="164" fontId="0" fillId="0" borderId="0" pivotButton="0" quotePrefix="0" xfId="0"/>
    <xf numFmtId="0" fontId="2" fillId="0" borderId="0" pivotButton="0" quotePrefix="0" xfId="0"/>
    <xf numFmtId="2" fontId="0" fillId="2" borderId="0" pivotButton="0" quotePrefix="0" xfId="0"/>
    <xf numFmtId="2" fontId="0" fillId="0" borderId="0" pivotButton="0" quotePrefix="0" xfId="0"/>
  </cellXfs>
  <cellStyles count="1">
    <cellStyle name="Normal" xfId="0" builtinId="0" hidden="0"/>
  </cellStyles>
  <dxfs count="1">
    <dxf>
      <font>
        <color rgb="00006100"/>
      </font>
      <fill>
        <patternFill patternType="solid">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2" customWidth="1" min="1" max="1"/>
    <col width="14" customWidth="1" min="2" max="2"/>
    <col width="58" customWidth="1" min="4" max="4"/>
    <col width="14" customWidth="1" min="5" max="5"/>
    <col width="8" customWidth="1" min="6" max="6"/>
  </cols>
  <sheetData>
    <row r="1">
      <c r="A1" s="1" t="inlineStr">
        <is>
          <t>Player</t>
        </is>
      </c>
      <c r="B1" t="inlineStr">
        <is>
          <t>Salvador Perez</t>
        </is>
      </c>
      <c r="E1" s="1" t="inlineStr">
        <is>
          <t>Your answer</t>
        </is>
      </c>
      <c r="F1" s="1" t="inlineStr">
        <is>
          <t>Check</t>
        </is>
      </c>
    </row>
    <row r="2">
      <c r="A2" s="1" t="inlineStr">
        <is>
          <t>Team</t>
        </is>
      </c>
      <c r="B2" t="inlineStr">
        <is>
          <t>Kansas City Royals</t>
        </is>
      </c>
      <c r="D2" s="2" t="inlineStr">
        <is>
          <t>Career batting average</t>
        </is>
      </c>
      <c r="E2" s="3" t="n"/>
      <c r="F2" s="4" t="n"/>
    </row>
    <row r="3">
      <c r="A3" s="1" t="inlineStr">
        <is>
          <t>Season</t>
        </is>
      </c>
      <c r="B3" t="n">
        <v>2024</v>
      </c>
      <c r="D3" s="2" t="inlineStr">
        <is>
          <t>April batting average</t>
        </is>
      </c>
      <c r="E3" s="3" t="n"/>
      <c r="F3" s="4" t="n"/>
    </row>
    <row r="4">
      <c r="A4" s="1" t="inlineStr">
        <is>
          <t>Career at bats, 2010 to 2023</t>
        </is>
      </c>
      <c r="B4" t="n">
        <v>5290</v>
      </c>
      <c r="D4" s="2" t="inlineStr">
        <is>
          <t>p-value: chance of at least this many April hits if he is his career self</t>
        </is>
      </c>
      <c r="E4" s="3" t="n"/>
      <c r="F4" s="4" t="n"/>
    </row>
    <row r="5">
      <c r="A5" s="1" t="inlineStr">
        <is>
          <t>Career hits</t>
        </is>
      </c>
      <c r="B5" t="n">
        <v>1411</v>
      </c>
      <c r="D5" s="2" t="inlineStr">
        <is>
          <t>Likelihood of exactly this April if he is a .300 hitter</t>
        </is>
      </c>
      <c r="E5" s="3" t="n"/>
      <c r="F5" s="4" t="n"/>
    </row>
    <row r="6">
      <c r="A6" s="1" t="inlineStr">
        <is>
          <t>April at bats</t>
        </is>
      </c>
      <c r="B6" t="n">
        <v>107</v>
      </c>
      <c r="D6" s="2" t="inlineStr">
        <is>
          <t>Likelihood of exactly this April if he is his career self</t>
        </is>
      </c>
      <c r="E6" s="3" t="n"/>
      <c r="F6" s="4" t="n"/>
    </row>
    <row r="7">
      <c r="A7" s="1" t="inlineStr">
        <is>
          <t>April hits</t>
        </is>
      </c>
      <c r="B7" t="n">
        <v>38</v>
      </c>
      <c r="D7" s="2" t="inlineStr">
        <is>
          <t>Posterior: probability he is a .300 hitter, given April</t>
        </is>
      </c>
      <c r="E7" s="3" t="n"/>
      <c r="F7" s="4" t="n"/>
    </row>
    <row r="8">
      <c r="A8" s="1" t="inlineStr">
        <is>
          <t>Hot hitter hypothesis, batting average</t>
        </is>
      </c>
      <c r="B8" s="5" t="n">
        <v>0.3</v>
      </c>
      <c r="D8" s="2" t="inlineStr">
        <is>
          <t>Same posterior if the prior were 20%</t>
        </is>
      </c>
      <c r="E8" s="3" t="n"/>
      <c r="F8" s="4" t="n"/>
    </row>
    <row r="9">
      <c r="A9" s="1" t="inlineStr">
        <is>
          <t>Prior: share of hitters like him who hit .300 for a season</t>
        </is>
      </c>
      <c r="B9" s="5" t="n">
        <v>0.0509</v>
      </c>
    </row>
    <row r="11">
      <c r="A11" s="6" t="inlineStr">
        <is>
          <t>Use BINOM.DIST for the two likelihoods and for the p-value. The p-value asks how surprising April is if nothing changed. The posterior asks how likely it is that something changed, and it needs the prior in B9 to answer. Change B9 and watch E7 move; the last row does that for you once.</t>
        </is>
      </c>
    </row>
  </sheetData>
  <conditionalFormatting sqref="F2">
    <cfRule type="expression" priority="1" dxfId="0">
      <formula>AND(ISNUMBER(E2),ABS(E2-(($B$5/$B$4)))&lt;=MAX(0.02*ABS(($B$5/$B$4)),0.002))</formula>
    </cfRule>
  </conditionalFormatting>
  <conditionalFormatting sqref="F3">
    <cfRule type="expression" priority="2" dxfId="0">
      <formula>AND(ISNUMBER(E3),ABS(E3-(($B$7/$B$6)))&lt;=MAX(0.02*ABS(($B$7/$B$6)),0.002))</formula>
    </cfRule>
  </conditionalFormatting>
  <conditionalFormatting sqref="F4">
    <cfRule type="expression" priority="3" dxfId="0">
      <formula>AND(ISNUMBER(E4),ABS(E4-((1-_xlfn.BINOM.DIST($B$7-1,$B$6,($B$5/$B$4),TRUE))))&lt;=MAX(0.02*ABS((1-_xlfn.BINOM.DIST($B$7-1,$B$6,($B$5/$B$4),TRUE))),0.002))</formula>
    </cfRule>
  </conditionalFormatting>
  <conditionalFormatting sqref="F5">
    <cfRule type="expression" priority="4" dxfId="0">
      <formula>AND(ISNUMBER(E5),ABS(E5-(_xlfn.BINOM.DIST($B$7,$B$6,$B$8,FALSE)))&lt;=MAX(0.02*ABS(_xlfn.BINOM.DIST($B$7,$B$6,$B$8,FALSE)),0.002))</formula>
    </cfRule>
  </conditionalFormatting>
  <conditionalFormatting sqref="F6">
    <cfRule type="expression" priority="5" dxfId="0">
      <formula>AND(ISNUMBER(E6),ABS(E6-(_xlfn.BINOM.DIST($B$7,$B$6,($B$5/$B$4),FALSE)))&lt;=MAX(0.02*ABS(_xlfn.BINOM.DIST($B$7,$B$6,($B$5/$B$4),FALSE)),0.002))</formula>
    </cfRule>
  </conditionalFormatting>
  <conditionalFormatting sqref="F7">
    <cfRule type="expression" priority="6" dxfId="0">
      <formula>AND(ISNUMBER(E7),ABS(E7-(($B$9*_xlfn.BINOM.DIST($B$7,$B$6,$B$8,FALSE)/($B$9*_xlfn.BINOM.DIST($B$7,$B$6,$B$8,FALSE)+(1-$B$9)*_xlfn.BINOM.DIST($B$7,$B$6,($B$5/$B$4),FALSE)))))&lt;=MAX(0.02*ABS(($B$9*_xlfn.BINOM.DIST($B$7,$B$6,$B$8,FALSE)/($B$9*_xlfn.BINOM.DIST($B$7,$B$6,$B$8,FALSE)+(1-$B$9)*_xlfn.BINOM.DIST($B$7,$B$6,($B$5/$B$4),FALSE)))),0.005))</formula>
    </cfRule>
  </conditionalFormatting>
  <conditionalFormatting sqref="F8">
    <cfRule type="expression" priority="7" dxfId="0">
      <formula>AND(ISNUMBER(E8),ABS(E8-((0.2*_xlfn.BINOM.DIST($B$7,$B$6,$B$8,FALSE)/(0.2*_xlfn.BINOM.DIST($B$7,$B$6,$B$8,FALSE)+0.8*_xlfn.BINOM.DIST($B$7,$B$6,($B$5/$B$4),FALSE)))))&lt;=MAX(0.02*ABS((0.2*_xlfn.BINOM.DIST($B$7,$B$6,$B$8,FALSE)/(0.2*_xlfn.BINOM.DIST($B$7,$B$6,$B$8,FALSE)+0.8*_xlfn.BINOM.DIST($B$7,$B$6,($B$5/$B$4),FALSE)))),0.005))</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8" customWidth="1" min="1" max="1"/>
    <col width="14" customWidth="1" min="2" max="2"/>
    <col width="56" customWidth="1" min="4" max="4"/>
    <col width="14" customWidth="1" min="5" max="5"/>
    <col width="8" customWidth="1" min="6" max="6"/>
  </cols>
  <sheetData>
    <row r="1">
      <c r="A1" s="1" t="inlineStr">
        <is>
          <t>Player</t>
        </is>
      </c>
      <c r="B1" t="inlineStr">
        <is>
          <t>Nick Anderson</t>
        </is>
      </c>
      <c r="E1" s="1" t="inlineStr">
        <is>
          <t>Your answer</t>
        </is>
      </c>
      <c r="F1" s="1" t="inlineStr">
        <is>
          <t>Check</t>
        </is>
      </c>
    </row>
    <row r="2">
      <c r="A2" s="1" t="inlineStr">
        <is>
          <t>Season</t>
        </is>
      </c>
      <c r="B2" t="inlineStr">
        <is>
          <t>1994-95</t>
        </is>
      </c>
      <c r="D2" s="2" t="inlineStr">
        <is>
          <t>Season free throw rate</t>
        </is>
      </c>
      <c r="E2" s="3" t="n"/>
      <c r="F2" s="4" t="n"/>
    </row>
    <row r="3">
      <c r="A3" s="1" t="inlineStr">
        <is>
          <t>Free throws made</t>
        </is>
      </c>
      <c r="B3" t="n">
        <v>143</v>
      </c>
      <c r="D3" s="2" t="inlineStr">
        <is>
          <t>Likelihood of four misses if he is his season self</t>
        </is>
      </c>
      <c r="E3" s="3" t="n"/>
      <c r="F3" s="4" t="n"/>
    </row>
    <row r="4">
      <c r="A4" s="1" t="inlineStr">
        <is>
          <t>Free throws attempted</t>
        </is>
      </c>
      <c r="B4" t="n">
        <v>203</v>
      </c>
      <c r="D4" s="2" t="inlineStr">
        <is>
          <t>Likelihood of four misses if he choked</t>
        </is>
      </c>
      <c r="E4" s="3" t="n"/>
      <c r="F4" s="4" t="n"/>
    </row>
    <row r="5">
      <c r="A5" s="1" t="inlineStr">
        <is>
          <t>Attempts in the Finals sequence</t>
        </is>
      </c>
      <c r="B5" t="n">
        <v>4</v>
      </c>
      <c r="D5" s="2" t="inlineStr">
        <is>
          <t>How many times more likely the misses are under the choke</t>
        </is>
      </c>
      <c r="E5" s="3" t="n"/>
      <c r="F5" s="4" t="n"/>
    </row>
    <row r="6">
      <c r="A6" s="1" t="inlineStr">
        <is>
          <t>Free throw rate if he choked</t>
        </is>
      </c>
      <c r="B6" s="5" t="n">
        <v>0.5</v>
      </c>
      <c r="D6" s="2" t="inlineStr">
        <is>
          <t>Posterior: probability he choked, given the four misses</t>
        </is>
      </c>
      <c r="E6" s="3" t="n"/>
      <c r="F6" s="4" t="n"/>
    </row>
    <row r="7">
      <c r="A7" s="1" t="inlineStr">
        <is>
          <t>Your prior: probability a player chokes in that spot</t>
        </is>
      </c>
      <c r="B7" s="7" t="n"/>
    </row>
    <row r="9">
      <c r="A9" s="6" t="inlineStr">
        <is>
          <t>B7 is yours to choose, and there is no right answer for it; the check on E6 uses whatever you put there. Be ready to say in class what prior you chose and why, and whether the four misses moved you.</t>
        </is>
      </c>
    </row>
  </sheetData>
  <conditionalFormatting sqref="F2">
    <cfRule type="expression" priority="1" dxfId="0">
      <formula>AND(ISNUMBER(E2),ABS(E2-(($B$3/$B$4)))&lt;=MAX(0.02*ABS(($B$3/$B$4)),0.002))</formula>
    </cfRule>
  </conditionalFormatting>
  <conditionalFormatting sqref="F3">
    <cfRule type="expression" priority="2" dxfId="0">
      <formula>AND(ISNUMBER(E3),ABS(E3-((1-($B$3/$B$4))^$B$5))&lt;=MAX(0.02*ABS((1-($B$3/$B$4))^$B$5),0.0002))</formula>
    </cfRule>
  </conditionalFormatting>
  <conditionalFormatting sqref="F4">
    <cfRule type="expression" priority="3" dxfId="0">
      <formula>AND(ISNUMBER(E4),ABS(E4-((1-$B$6)^$B$5))&lt;=MAX(0.02*ABS((1-$B$6)^$B$5),0.0002))</formula>
    </cfRule>
  </conditionalFormatting>
  <conditionalFormatting sqref="F5">
    <cfRule type="expression" priority="4" dxfId="0">
      <formula>AND(ISNUMBER(E5),ABS(E5-(((1-$B$6)^$B$5/(1-($B$3/$B$4))^$B$5)))&lt;=MAX(0.02*ABS(((1-$B$6)^$B$5/(1-($B$3/$B$4))^$B$5)),0.05))</formula>
    </cfRule>
  </conditionalFormatting>
  <conditionalFormatting sqref="F6">
    <cfRule type="expression" priority="5" dxfId="0">
      <formula>AND(ISNUMBER(E6),ABS(E6-(($B$7*(1-$B$6)^$B$5/($B$7*(1-$B$6)^$B$5+(1-$B$7)*(1-($B$3/$B$4))^$B$5))))&lt;=MAX(0.02*ABS(($B$7*(1-$B$6)^$B$5/($B$7*(1-$B$6)^$B$5+(1-$B$7)*(1-($B$3/$B$4))^$B$5))),0.005))</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6" customWidth="1" min="1" max="1"/>
    <col width="14" customWidth="1" min="2" max="2"/>
    <col width="58" customWidth="1" min="4" max="4"/>
    <col width="14" customWidth="1" min="5" max="5"/>
    <col width="8" customWidth="1" min="6" max="6"/>
  </cols>
  <sheetData>
    <row r="1">
      <c r="A1" s="1" t="inlineStr">
        <is>
          <t>Player</t>
        </is>
      </c>
      <c r="B1" t="inlineStr">
        <is>
          <t>Christian McCaffrey</t>
        </is>
      </c>
      <c r="E1" s="1" t="inlineStr">
        <is>
          <t>Your answer</t>
        </is>
      </c>
      <c r="F1" s="1" t="inlineStr">
        <is>
          <t>Check</t>
        </is>
      </c>
    </row>
    <row r="2">
      <c r="A2" s="1" t="inlineStr">
        <is>
          <t>Team</t>
        </is>
      </c>
      <c r="B2" t="inlineStr">
        <is>
          <t>49ers</t>
        </is>
      </c>
      <c r="D2" s="2" t="inlineStr">
        <is>
          <t>Cliff hypothesis: yards per carry</t>
        </is>
      </c>
      <c r="E2" s="3" t="n"/>
      <c r="F2" s="4" t="n"/>
    </row>
    <row r="3">
      <c r="A3" s="1" t="inlineStr">
        <is>
          <t>Career carries, 2018 to 2024</t>
        </is>
      </c>
      <c r="B3" t="n">
        <v>1233</v>
      </c>
      <c r="D3" s="2" t="inlineStr">
        <is>
          <t>Standard error of an average over these carries</t>
        </is>
      </c>
      <c r="E3" s="3" t="n"/>
      <c r="F3" s="4" t="n"/>
    </row>
    <row r="4">
      <c r="A4" s="1" t="inlineStr">
        <is>
          <t>Career yards per carry</t>
        </is>
      </c>
      <c r="B4" s="8" t="n">
        <v>4.8289</v>
      </c>
      <c r="D4" s="2" t="inlineStr">
        <is>
          <t>z: how many standard errors below his career</t>
        </is>
      </c>
      <c r="E4" s="3" t="n"/>
      <c r="F4" s="4" t="n"/>
    </row>
    <row r="5">
      <c r="A5" s="1" t="inlineStr">
        <is>
          <t>Standard deviation of a single carry</t>
        </is>
      </c>
      <c r="B5" s="8" t="n">
        <v>7.4018</v>
      </c>
      <c r="D5" s="2" t="inlineStr">
        <is>
          <t>p-value: chance of an average this low if he is his career self</t>
        </is>
      </c>
      <c r="E5" s="3" t="n"/>
      <c r="F5" s="4" t="n"/>
    </row>
    <row r="6">
      <c r="A6" s="1" t="inlineStr">
        <is>
          <t>Carries, 2025 weeks 1 to 5</t>
        </is>
      </c>
      <c r="B6" t="n">
        <v>91</v>
      </c>
      <c r="D6" s="2" t="inlineStr">
        <is>
          <t>Likelihood of this average if he is his career self</t>
        </is>
      </c>
      <c r="E6" s="3" t="n"/>
      <c r="F6" s="4" t="n"/>
    </row>
    <row r="7">
      <c r="A7" s="1" t="inlineStr">
        <is>
          <t>Yards per carry over those weeks</t>
        </is>
      </c>
      <c r="B7" s="8" t="n">
        <v>3.0989</v>
      </c>
      <c r="D7" s="2" t="inlineStr">
        <is>
          <t>Likelihood of this average if he fell off the cliff</t>
        </is>
      </c>
      <c r="E7" s="3" t="n"/>
      <c r="F7" s="4" t="n"/>
    </row>
    <row r="8">
      <c r="A8" s="1" t="inlineStr">
        <is>
          <t>Cliff hypothesis: drop in yards per carry</t>
        </is>
      </c>
      <c r="B8" t="n">
        <v>1</v>
      </c>
      <c r="D8" s="2" t="inlineStr">
        <is>
          <t>Posterior: probability he fell off the cliff, given these weeks</t>
        </is>
      </c>
      <c r="E8" s="3" t="n"/>
      <c r="F8" s="4" t="n"/>
    </row>
    <row r="9">
      <c r="A9" s="1" t="inlineStr">
        <is>
          <t>Prior: share of established backs who fall off a cliff in a season</t>
        </is>
      </c>
      <c r="B9" s="5" t="n">
        <v>0.0417</v>
      </c>
    </row>
    <row r="11">
      <c r="A11" s="6" t="inlineStr">
        <is>
          <t>NORM.DIST with TRUE gives the area to the left, which is the p-value. With FALSE it gives the height of the curve at a point, which is the likelihood. Both curves use the same standard error, because both hypotheses are about the same 91 carries.</t>
        </is>
      </c>
    </row>
  </sheetData>
  <conditionalFormatting sqref="F2">
    <cfRule type="expression" priority="1" dxfId="0">
      <formula>AND(ISNUMBER(E2),ABS(E2-(($B$4-$B$8)))&lt;=MAX(0.02*ABS(($B$4-$B$8)),0.005))</formula>
    </cfRule>
  </conditionalFormatting>
  <conditionalFormatting sqref="F3">
    <cfRule type="expression" priority="2" dxfId="0">
      <formula>AND(ISNUMBER(E3),ABS(E3-(($B$5/SQRT($B$6))))&lt;=MAX(0.02*ABS(($B$5/SQRT($B$6))),0.005))</formula>
    </cfRule>
  </conditionalFormatting>
  <conditionalFormatting sqref="F4">
    <cfRule type="expression" priority="3" dxfId="0">
      <formula>AND(ISNUMBER(E4),ABS(E4-((($B$7-$B$4)/($B$5/SQRT($B$6)))))&lt;=MAX(0.02*ABS((($B$7-$B$4)/($B$5/SQRT($B$6)))),0.02))</formula>
    </cfRule>
  </conditionalFormatting>
  <conditionalFormatting sqref="F5">
    <cfRule type="expression" priority="4" dxfId="0">
      <formula>AND(ISNUMBER(E5),ABS(E5-(_xlfn.NORM.DIST($B$7,$B$4,($B$5/SQRT($B$6)),TRUE)))&lt;=MAX(0.02*ABS(_xlfn.NORM.DIST($B$7,$B$4,($B$5/SQRT($B$6)),TRUE)),0.002))</formula>
    </cfRule>
  </conditionalFormatting>
  <conditionalFormatting sqref="F6">
    <cfRule type="expression" priority="5" dxfId="0">
      <formula>AND(ISNUMBER(E6),ABS(E6-(_xlfn.NORM.DIST($B$7,$B$4,($B$5/SQRT($B$6)),FALSE)))&lt;=MAX(0.02*ABS(_xlfn.NORM.DIST($B$7,$B$4,($B$5/SQRT($B$6)),FALSE)),0.005))</formula>
    </cfRule>
  </conditionalFormatting>
  <conditionalFormatting sqref="F7">
    <cfRule type="expression" priority="6" dxfId="0">
      <formula>AND(ISNUMBER(E7),ABS(E7-(_xlfn.NORM.DIST($B$7,($B$4-$B$8),($B$5/SQRT($B$6)),FALSE)))&lt;=MAX(0.02*ABS(_xlfn.NORM.DIST($B$7,($B$4-$B$8),($B$5/SQRT($B$6)),FALSE)),0.005))</formula>
    </cfRule>
  </conditionalFormatting>
  <conditionalFormatting sqref="F8">
    <cfRule type="expression" priority="7" dxfId="0">
      <formula>AND(ISNUMBER(E8),ABS(E8-(($B$9*_xlfn.NORM.DIST($B$7,($B$4-$B$8),($B$5/SQRT($B$6)),FALSE)/($B$9*_xlfn.NORM.DIST($B$7,($B$4-$B$8),($B$5/SQRT($B$6)),FALSE)+(1-$B$9)*_xlfn.NORM.DIST($B$7,$B$4,($B$5/SQRT($B$6)),FALSE)))))&lt;=MAX(0.02*ABS(($B$9*_xlfn.NORM.DIST($B$7,($B$4-$B$8),($B$5/SQRT($B$6)),FALSE)/($B$9*_xlfn.NORM.DIST($B$7,($B$4-$B$8),($B$5/SQRT($B$6)),FALSE)+(1-$B$9)*_xlfn.NORM.DIST($B$7,$B$4,($B$5/SQRT($B$6)),FALSE)))),0.005)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2026-09-07T14:44:58Z</dcterms:created>
  <dcterms:modified xmlns:dcterms="http://purl.org/dc/terms/" xmlns:xsi="http://www.w3.org/2001/XMLSchema-instance" xsi:type="dcterms:W3CDTF">2026-09-07T14:44:58Z</dcterms:modified>
</cp:coreProperties>
</file>