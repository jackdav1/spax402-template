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ur factors" sheetId="1" state="visible" r:id="rId1"/>
    <sheet xmlns:r="http://schemas.openxmlformats.org/officeDocument/2006/relationships" name="weighted efficiency" sheetId="2" state="visible" r:id="rId2"/>
    <sheet xmlns:r="http://schemas.openxmlformats.org/officeDocument/2006/relationships" name="epa and wpa" sheetId="3" state="visible" r:id="rId3"/>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3">
    <font>
      <name val="Calibri"/>
      <family val="2"/>
      <color theme="1"/>
      <sz val="11"/>
      <scheme val="minor"/>
    </font>
    <font>
      <i val="1"/>
    </font>
    <font>
      <b val="1"/>
    </font>
  </fonts>
  <fills count="4">
    <fill>
      <patternFill/>
    </fill>
    <fill>
      <patternFill patternType="gray125"/>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center" wrapText="1"/>
    </xf>
    <xf numFmtId="164" fontId="0" fillId="2" borderId="0" pivotButton="0" quotePrefix="0" xfId="0"/>
    <xf numFmtId="0" fontId="0" fillId="3" borderId="0" pivotButton="0" quotePrefix="0" xfId="0"/>
    <xf numFmtId="2" fontId="0" fillId="2" borderId="0" pivotButton="0" quotePrefix="0" xfId="0"/>
    <xf numFmtId="165" fontId="0" fillId="2" borderId="0" pivotButton="0" quotePrefix="0" xfId="0"/>
    <xf numFmtId="166" fontId="0" fillId="2" borderId="0" pivotButton="0" quotePrefix="0" xfId="0"/>
    <xf numFmtId="0" fontId="0" fillId="0" borderId="0" applyAlignment="1" pivotButton="0" quotePrefix="0" xfId="0">
      <alignment vertical="center" wrapText="1"/>
    </xf>
    <xf numFmtId="166" fontId="0" fillId="0" borderId="0" pivotButton="0" quotePrefix="0" xfId="0"/>
    <xf numFmtId="164" fontId="0" fillId="0" borderId="0" pivotButton="0" quotePrefix="0" xfId="0"/>
  </cellXfs>
  <cellStyles count="1">
    <cellStyle name="Normal" xfId="0" builtinId="0" hidden="0"/>
  </cellStyles>
  <dxfs count="1">
    <dxf>
      <font>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2" customWidth="1" min="1" max="1"/>
    <col width="10" customWidth="1" min="2" max="2"/>
    <col width="10" customWidth="1" min="3" max="3"/>
    <col width="66" customWidth="1" min="4" max="4"/>
    <col width="14" customWidth="1" min="5" max="5"/>
    <col width="8" customWidth="1" min="6" max="6"/>
  </cols>
  <sheetData>
    <row r="1">
      <c r="A1" s="1" t="inlineStr">
        <is>
          <t>Fever at Sparks, August 29, 2025. Los Angeles Sparks 75, Indiana Fever 76.</t>
        </is>
      </c>
    </row>
    <row r="2">
      <c r="A2" s="2" t="inlineStr"/>
      <c r="B2" s="2" t="inlineStr">
        <is>
          <t>LAS</t>
        </is>
      </c>
      <c r="C2" s="2" t="inlineStr">
        <is>
          <t>IND</t>
        </is>
      </c>
      <c r="D2" s="2" t="inlineStr">
        <is>
          <t>Los Angeles Sparks</t>
        </is>
      </c>
      <c r="E2" s="2" t="inlineStr">
        <is>
          <t>Your answer</t>
        </is>
      </c>
      <c r="F2" s="2" t="inlineStr">
        <is>
          <t>Check</t>
        </is>
      </c>
    </row>
    <row r="3">
      <c r="A3" s="2" t="inlineStr">
        <is>
          <t>Points</t>
        </is>
      </c>
      <c r="B3" t="n">
        <v>75</v>
      </c>
      <c r="C3" t="n">
        <v>76</v>
      </c>
      <c r="D3" s="3" t="inlineStr">
        <is>
          <t>eFG%: effective field goal percentage, (FG + 0.5 x 3P) / FGA</t>
        </is>
      </c>
      <c r="E3" s="4" t="n"/>
      <c r="F3" s="5" t="n"/>
    </row>
    <row r="4">
      <c r="A4" s="2" t="inlineStr">
        <is>
          <t>Field goals made</t>
        </is>
      </c>
      <c r="B4" t="n">
        <v>27</v>
      </c>
      <c r="C4" t="n">
        <v>33</v>
      </c>
      <c r="D4" s="3" t="inlineStr">
        <is>
          <t>FTAr: free throw attempt rate, FTA / FGA</t>
        </is>
      </c>
      <c r="E4" s="4" t="n"/>
      <c r="F4" s="5" t="n"/>
    </row>
    <row r="5">
      <c r="A5" s="2" t="inlineStr">
        <is>
          <t>Field goal attempts</t>
        </is>
      </c>
      <c r="B5" t="n">
        <v>56</v>
      </c>
      <c r="C5" t="n">
        <v>81</v>
      </c>
      <c r="D5" s="3" t="inlineStr">
        <is>
          <t>TO%: turnovers per possession-ending event, TOV / (FGA + 0.44 x FTA + TOV)</t>
        </is>
      </c>
      <c r="E5" s="4" t="n"/>
      <c r="F5" s="5" t="n"/>
    </row>
    <row r="6">
      <c r="A6" s="2" t="inlineStr">
        <is>
          <t>Three-pointers made</t>
        </is>
      </c>
      <c r="B6" t="n">
        <v>8</v>
      </c>
      <c r="C6" t="n">
        <v>5</v>
      </c>
      <c r="D6" s="3" t="inlineStr">
        <is>
          <t>ORB%: offensive rebounds / (own ORB + opponent DRB)</t>
        </is>
      </c>
      <c r="E6" s="4" t="n"/>
      <c r="F6" s="5" t="n"/>
    </row>
    <row r="7">
      <c r="A7" s="2" t="inlineStr">
        <is>
          <t>Free throws made</t>
        </is>
      </c>
      <c r="B7" t="n">
        <v>13</v>
      </c>
      <c r="C7" t="n">
        <v>5</v>
      </c>
      <c r="D7" s="3" t="inlineStr">
        <is>
          <t>Possessions, estimated: FGA - ORB + TOV + 0.44 x FTA</t>
        </is>
      </c>
      <c r="E7" s="6" t="n"/>
      <c r="F7" s="5" t="n"/>
    </row>
    <row r="8">
      <c r="A8" s="2" t="inlineStr">
        <is>
          <t>Free throw attempts</t>
        </is>
      </c>
      <c r="B8" t="n">
        <v>16</v>
      </c>
      <c r="C8" t="n">
        <v>10</v>
      </c>
      <c r="D8" s="3" t="inlineStr">
        <is>
          <t>Points per possession</t>
        </is>
      </c>
      <c r="E8" s="4" t="n"/>
      <c r="F8" s="5" t="n"/>
    </row>
    <row r="9">
      <c r="A9" s="2" t="inlineStr">
        <is>
          <t>Offensive rebounds</t>
        </is>
      </c>
      <c r="B9" t="n">
        <v>3</v>
      </c>
      <c r="C9" t="n">
        <v>15</v>
      </c>
    </row>
    <row r="10">
      <c r="A10" s="2" t="inlineStr">
        <is>
          <t>Defensive rebounds</t>
        </is>
      </c>
      <c r="B10" t="n">
        <v>27</v>
      </c>
      <c r="C10" t="n">
        <v>25</v>
      </c>
      <c r="D10" s="2" t="inlineStr">
        <is>
          <t>Indiana Fever</t>
        </is>
      </c>
      <c r="E10" s="2" t="inlineStr">
        <is>
          <t>Your answer</t>
        </is>
      </c>
      <c r="F10" s="2" t="inlineStr">
        <is>
          <t>Check</t>
        </is>
      </c>
    </row>
    <row r="11">
      <c r="A11" s="2" t="inlineStr">
        <is>
          <t>Turnovers</t>
        </is>
      </c>
      <c r="B11" t="n">
        <v>22</v>
      </c>
      <c r="C11" t="n">
        <v>15</v>
      </c>
      <c r="D11" s="3" t="inlineStr">
        <is>
          <t>eFG%: effective field goal percentage, (FG + 0.5 x 3P) / FGA</t>
        </is>
      </c>
      <c r="E11" s="4" t="n"/>
      <c r="F11" s="5" t="n"/>
    </row>
    <row r="12">
      <c r="A12" s="2" t="inlineStr">
        <is>
          <t>Free throw possession weight</t>
        </is>
      </c>
      <c r="B12" t="n">
        <v>0.44</v>
      </c>
      <c r="C12" t="n">
        <v>0.44</v>
      </c>
      <c r="D12" s="3" t="inlineStr">
        <is>
          <t>FTAr: free throw attempt rate, FTA / FGA</t>
        </is>
      </c>
      <c r="E12" s="4" t="n"/>
      <c r="F12" s="5" t="n"/>
    </row>
    <row r="13">
      <c r="D13" s="3" t="inlineStr">
        <is>
          <t>TO%: turnovers per possession-ending event, TOV / (FGA + 0.44 x FTA + TOV)</t>
        </is>
      </c>
      <c r="E13" s="4" t="n"/>
      <c r="F13" s="5" t="n"/>
    </row>
    <row r="14">
      <c r="D14" s="3" t="inlineStr">
        <is>
          <t>ORB%: offensive rebounds / (own ORB + opponent DRB)</t>
        </is>
      </c>
      <c r="E14" s="4" t="n"/>
      <c r="F14" s="5" t="n"/>
    </row>
    <row r="15">
      <c r="D15" s="3" t="inlineStr">
        <is>
          <t>Possessions, estimated: FGA - ORB + TOV + 0.44 x FTA</t>
        </is>
      </c>
      <c r="E15" s="6" t="n"/>
      <c r="F15" s="5" t="n"/>
    </row>
    <row r="16">
      <c r="D16" s="3" t="inlineStr">
        <is>
          <t>Points per possession</t>
        </is>
      </c>
      <c r="E16" s="4" t="n"/>
      <c r="F16" s="5" t="n"/>
    </row>
    <row r="18">
      <c r="A18" s="1" t="inlineStr">
        <is>
          <t>Every rate on this sheet is built from the counts in B and C, and the two teams share every formula. Fill in LAS, then copy the six formulas down to IND and check that the references moved with them. LAS shot better from the field and lost by one. Say which factor made up the difference, and by how much.</t>
        </is>
      </c>
    </row>
  </sheetData>
  <conditionalFormatting sqref="F3">
    <cfRule type="expression" priority="1" dxfId="0">
      <formula>AND(ISNUMBER(E3),ABS(E3-((($B$4+0.5*$B$6)/$B$5)))&lt;=MAX(0.02*ABS((($B$4+0.5*$B$6)/$B$5)),0.002))</formula>
    </cfRule>
  </conditionalFormatting>
  <conditionalFormatting sqref="F4">
    <cfRule type="expression" priority="2" dxfId="0">
      <formula>AND(ISNUMBER(E4),ABS(E4-(($B$8/$B$5)))&lt;=MAX(0.02*ABS(($B$8/$B$5)),0.002))</formula>
    </cfRule>
  </conditionalFormatting>
  <conditionalFormatting sqref="F5">
    <cfRule type="expression" priority="3" dxfId="0">
      <formula>AND(ISNUMBER(E5),ABS(E5-(($B$11/($B$5+$B$12*$B$8+$B$11))))&lt;=MAX(0.02*ABS(($B$11/($B$5+$B$12*$B$8+$B$11))),0.002))</formula>
    </cfRule>
  </conditionalFormatting>
  <conditionalFormatting sqref="F6">
    <cfRule type="expression" priority="4" dxfId="0">
      <formula>AND(ISNUMBER(E6),ABS(E6-(($B$9/($B$9+$C$10))))&lt;=MAX(0.02*ABS(($B$9/($B$9+$C$10))),0.002))</formula>
    </cfRule>
  </conditionalFormatting>
  <conditionalFormatting sqref="F7">
    <cfRule type="expression" priority="5" dxfId="0">
      <formula>AND(ISNUMBER(E7),ABS(E7-(($B$5-$B$9+$B$11+$B$12*$B$8)))&lt;=MAX(0.02*ABS(($B$5-$B$9+$B$11+$B$12*$B$8)),0.05))</formula>
    </cfRule>
  </conditionalFormatting>
  <conditionalFormatting sqref="F8">
    <cfRule type="expression" priority="6" dxfId="0">
      <formula>AND(ISNUMBER(E8),ABS(E8-(($B$3/($B$5-$B$9+$B$11+$B$12*$B$8))))&lt;=MAX(0.02*ABS(($B$3/($B$5-$B$9+$B$11+$B$12*$B$8))),0.003))</formula>
    </cfRule>
  </conditionalFormatting>
  <conditionalFormatting sqref="F11">
    <cfRule type="expression" priority="7" dxfId="0">
      <formula>AND(ISNUMBER(E11),ABS(E11-((($C$4+0.5*$C$6)/$C$5)))&lt;=MAX(0.02*ABS((($C$4+0.5*$C$6)/$C$5)),0.002))</formula>
    </cfRule>
  </conditionalFormatting>
  <conditionalFormatting sqref="F12">
    <cfRule type="expression" priority="8" dxfId="0">
      <formula>AND(ISNUMBER(E12),ABS(E12-(($C$8/$C$5)))&lt;=MAX(0.02*ABS(($C$8/$C$5)),0.002))</formula>
    </cfRule>
  </conditionalFormatting>
  <conditionalFormatting sqref="F13">
    <cfRule type="expression" priority="9" dxfId="0">
      <formula>AND(ISNUMBER(E13),ABS(E13-(($C$11/($C$5+$C$12*$C$8+$C$11))))&lt;=MAX(0.02*ABS(($C$11/($C$5+$C$12*$C$8+$C$11))),0.002))</formula>
    </cfRule>
  </conditionalFormatting>
  <conditionalFormatting sqref="F14">
    <cfRule type="expression" priority="10" dxfId="0">
      <formula>AND(ISNUMBER(E14),ABS(E14-(($C$9/($C$9+$B$10))))&lt;=MAX(0.02*ABS(($C$9/($C$9+$B$10))),0.002))</formula>
    </cfRule>
  </conditionalFormatting>
  <conditionalFormatting sqref="F15">
    <cfRule type="expression" priority="11" dxfId="0">
      <formula>AND(ISNUMBER(E15),ABS(E15-(($C$5-$C$9+$C$11+$C$12*$C$8)))&lt;=MAX(0.02*ABS(($C$5-$C$9+$C$11+$C$12*$C$8)),0.05))</formula>
    </cfRule>
  </conditionalFormatting>
  <conditionalFormatting sqref="F16">
    <cfRule type="expression" priority="12" dxfId="0">
      <formula>AND(ISNUMBER(E16),ABS(E16-(($C$3/($C$5-$C$9+$C$11+$C$12*$C$8))))&lt;=MAX(0.02*ABS(($C$3/($C$5-$C$9+$C$11+$C$12*$C$8))),0.003))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28" customWidth="1" min="1" max="1"/>
    <col width="10" customWidth="1" min="2" max="2"/>
    <col width="10" customWidth="1" min="3" max="3"/>
    <col width="10" customWidth="1" min="4" max="4"/>
    <col width="58" customWidth="1" min="5" max="5"/>
    <col width="14" customWidth="1" min="6" max="6"/>
    <col width="8" customWidth="1" min="7" max="7"/>
  </cols>
  <sheetData>
    <row r="1">
      <c r="A1" s="1" t="inlineStr">
        <is>
          <t>2024 season, MLB Stats API.</t>
        </is>
      </c>
    </row>
    <row r="2">
      <c r="A2" s="2" t="inlineStr"/>
      <c r="B2" s="2" t="inlineStr">
        <is>
          <t>India</t>
        </is>
      </c>
      <c r="C2" s="2" t="inlineStr">
        <is>
          <t>Rafaela</t>
        </is>
      </c>
      <c r="D2" s="2" t="inlineStr">
        <is>
          <t>Langeliers</t>
        </is>
      </c>
      <c r="E2" s="2" t="inlineStr">
        <is>
          <t>Jonathan India</t>
        </is>
      </c>
      <c r="F2" s="2" t="inlineStr">
        <is>
          <t>Your answer</t>
        </is>
      </c>
      <c r="G2" s="2" t="inlineStr">
        <is>
          <t>Check</t>
        </is>
      </c>
    </row>
    <row r="3">
      <c r="A3" s="2" t="inlineStr">
        <is>
          <t>At bats</t>
        </is>
      </c>
      <c r="B3" t="n">
        <v>533</v>
      </c>
      <c r="C3" t="n">
        <v>544</v>
      </c>
      <c r="D3" t="n">
        <v>482</v>
      </c>
      <c r="E3" s="3" t="inlineStr">
        <is>
          <t>Singles: hits that were not doubles, triples or home runs</t>
        </is>
      </c>
      <c r="F3" s="7" t="n"/>
      <c r="G3" s="5" t="n"/>
    </row>
    <row r="4">
      <c r="A4" s="2" t="inlineStr">
        <is>
          <t>Hits</t>
        </is>
      </c>
      <c r="B4" t="n">
        <v>132</v>
      </c>
      <c r="C4" t="n">
        <v>134</v>
      </c>
      <c r="D4" t="n">
        <v>108</v>
      </c>
      <c r="E4" s="3" t="inlineStr">
        <is>
          <t>Batting average, H / AB</t>
        </is>
      </c>
      <c r="F4" s="8" t="n"/>
      <c r="G4" s="5" t="n"/>
    </row>
    <row r="5">
      <c r="A5" s="2" t="inlineStr">
        <is>
          <t>Doubles</t>
        </is>
      </c>
      <c r="B5" t="n">
        <v>28</v>
      </c>
      <c r="C5" t="n">
        <v>23</v>
      </c>
      <c r="D5" t="n">
        <v>18</v>
      </c>
      <c r="E5" s="3" t="inlineStr">
        <is>
          <t>On-base %, (H + BB + HBP) / (AB + BB + HBP + SF)</t>
        </is>
      </c>
      <c r="F5" s="8" t="n"/>
      <c r="G5" s="5" t="n"/>
    </row>
    <row r="6">
      <c r="A6" s="2" t="inlineStr">
        <is>
          <t>Triples</t>
        </is>
      </c>
      <c r="B6" t="n">
        <v>2</v>
      </c>
      <c r="C6" t="n">
        <v>5</v>
      </c>
      <c r="D6" t="n">
        <v>2</v>
      </c>
      <c r="E6" s="3" t="inlineStr">
        <is>
          <t>Slugging, (1B + 2 x 2B + 3 x 3B + 4 x HR) / AB</t>
        </is>
      </c>
      <c r="F6" s="8" t="n"/>
      <c r="G6" s="5" t="n"/>
    </row>
    <row r="7">
      <c r="A7" s="2" t="inlineStr">
        <is>
          <t>Home runs</t>
        </is>
      </c>
      <c r="B7" t="n">
        <v>15</v>
      </c>
      <c r="C7" t="n">
        <v>15</v>
      </c>
      <c r="D7" t="n">
        <v>29</v>
      </c>
      <c r="E7" s="3" t="inlineStr">
        <is>
          <t>OPS, on-base plus slugging</t>
        </is>
      </c>
      <c r="F7" s="8" t="n"/>
      <c r="G7" s="5" t="n"/>
    </row>
    <row r="8">
      <c r="A8" s="2" t="inlineStr">
        <is>
          <t>Walks</t>
        </is>
      </c>
      <c r="B8" t="n">
        <v>80</v>
      </c>
      <c r="C8" t="n">
        <v>15</v>
      </c>
      <c r="D8" t="n">
        <v>41</v>
      </c>
      <c r="E8" s="3" t="inlineStr">
        <is>
          <t>Unintentional walks, BB - IBB</t>
        </is>
      </c>
      <c r="F8" s="7" t="n"/>
      <c r="G8" s="5" t="n"/>
    </row>
    <row r="9">
      <c r="A9" s="2" t="inlineStr">
        <is>
          <t>Intentional walks</t>
        </is>
      </c>
      <c r="B9" t="n">
        <v>0</v>
      </c>
      <c r="C9" t="n">
        <v>1</v>
      </c>
      <c r="D9" t="n">
        <v>2</v>
      </c>
      <c r="E9" s="3" t="inlineStr">
        <is>
          <t>wOBA numerator: each outcome times its weight</t>
        </is>
      </c>
      <c r="F9" s="7" t="n"/>
      <c r="G9" s="5" t="n"/>
    </row>
    <row r="10">
      <c r="A10" s="2" t="inlineStr">
        <is>
          <t>Hit by pitch</t>
        </is>
      </c>
      <c r="B10" t="n">
        <v>15</v>
      </c>
      <c r="C10" t="n">
        <v>7</v>
      </c>
      <c r="D10" t="n">
        <v>5</v>
      </c>
      <c r="E10" s="3" t="inlineStr">
        <is>
          <t>wOBA denominator: AB + uBB + SF + HBP</t>
        </is>
      </c>
      <c r="F10" s="7" t="n"/>
      <c r="G10" s="5" t="n"/>
    </row>
    <row r="11">
      <c r="A11" s="2" t="inlineStr">
        <is>
          <t>Sacrifice flies</t>
        </is>
      </c>
      <c r="B11" t="n">
        <v>7</v>
      </c>
      <c r="C11" t="n">
        <v>3</v>
      </c>
      <c r="D11" t="n">
        <v>6</v>
      </c>
      <c r="E11" s="3" t="inlineStr">
        <is>
          <t>wOBA</t>
        </is>
      </c>
      <c r="F11" s="8" t="n"/>
      <c r="G11" s="5" t="n"/>
    </row>
    <row r="12">
      <c r="E12" s="2" t="inlineStr">
        <is>
          <t>Ceddanne Rafaela</t>
        </is>
      </c>
      <c r="F12" s="2" t="inlineStr">
        <is>
          <t>Your answer</t>
        </is>
      </c>
      <c r="G12" s="2" t="inlineStr">
        <is>
          <t>Check</t>
        </is>
      </c>
    </row>
    <row r="13">
      <c r="A13" s="2" t="inlineStr">
        <is>
          <t>wOBA weights</t>
        </is>
      </c>
      <c r="E13" s="3" t="inlineStr">
        <is>
          <t>Singles: hits that were not doubles, triples or home runs</t>
        </is>
      </c>
      <c r="F13" s="7" t="n"/>
      <c r="G13" s="5" t="n"/>
    </row>
    <row r="14">
      <c r="A14" s="2" t="inlineStr">
        <is>
          <t>Unintentional walk</t>
        </is>
      </c>
      <c r="B14" t="n">
        <v>0.6899999999999999</v>
      </c>
      <c r="E14" s="3" t="inlineStr">
        <is>
          <t>Batting average, H / AB</t>
        </is>
      </c>
      <c r="F14" s="8" t="n"/>
      <c r="G14" s="5" t="n"/>
    </row>
    <row r="15">
      <c r="A15" s="2" t="inlineStr">
        <is>
          <t>Hit by pitch</t>
        </is>
      </c>
      <c r="B15" t="n">
        <v>0.72</v>
      </c>
      <c r="E15" s="3" t="inlineStr">
        <is>
          <t>On-base %, (H + BB + HBP) / (AB + BB + HBP + SF)</t>
        </is>
      </c>
      <c r="F15" s="8" t="n"/>
      <c r="G15" s="5" t="n"/>
    </row>
    <row r="16">
      <c r="A16" s="2" t="inlineStr">
        <is>
          <t>Single</t>
        </is>
      </c>
      <c r="B16" t="n">
        <v>0.88</v>
      </c>
      <c r="E16" s="3" t="inlineStr">
        <is>
          <t>Slugging, (1B + 2 x 2B + 3 x 3B + 4 x HR) / AB</t>
        </is>
      </c>
      <c r="F16" s="8" t="n"/>
      <c r="G16" s="5" t="n"/>
    </row>
    <row r="17">
      <c r="A17" s="2" t="inlineStr">
        <is>
          <t>Double</t>
        </is>
      </c>
      <c r="B17" t="n">
        <v>1.25</v>
      </c>
      <c r="E17" s="3" t="inlineStr">
        <is>
          <t>OPS, on-base plus slugging</t>
        </is>
      </c>
      <c r="F17" s="8" t="n"/>
      <c r="G17" s="5" t="n"/>
    </row>
    <row r="18">
      <c r="A18" s="2" t="inlineStr">
        <is>
          <t>Triple</t>
        </is>
      </c>
      <c r="B18" t="n">
        <v>1.58</v>
      </c>
      <c r="E18" s="3" t="inlineStr">
        <is>
          <t>Unintentional walks, BB - IBB</t>
        </is>
      </c>
      <c r="F18" s="7" t="n"/>
      <c r="G18" s="5" t="n"/>
    </row>
    <row r="19">
      <c r="A19" s="2" t="inlineStr">
        <is>
          <t>Home run</t>
        </is>
      </c>
      <c r="B19" t="n">
        <v>2.01</v>
      </c>
      <c r="E19" s="3" t="inlineStr">
        <is>
          <t>wOBA numerator: each outcome times its weight</t>
        </is>
      </c>
      <c r="F19" s="7" t="n"/>
      <c r="G19" s="5" t="n"/>
    </row>
    <row r="20">
      <c r="E20" s="3" t="inlineStr">
        <is>
          <t>wOBA denominator: AB + uBB + SF + HBP</t>
        </is>
      </c>
      <c r="F20" s="7" t="n"/>
      <c r="G20" s="5" t="n"/>
    </row>
    <row r="21">
      <c r="E21" s="3" t="inlineStr">
        <is>
          <t>wOBA</t>
        </is>
      </c>
      <c r="F21" s="8" t="n"/>
      <c r="G21" s="5" t="n"/>
    </row>
    <row r="22">
      <c r="E22" s="2" t="inlineStr">
        <is>
          <t>Shea Langeliers</t>
        </is>
      </c>
      <c r="F22" s="2" t="inlineStr">
        <is>
          <t>Your answer</t>
        </is>
      </c>
      <c r="G22" s="2" t="inlineStr">
        <is>
          <t>Check</t>
        </is>
      </c>
    </row>
    <row r="23">
      <c r="E23" s="3" t="inlineStr">
        <is>
          <t>Singles: hits that were not doubles, triples or home runs</t>
        </is>
      </c>
      <c r="F23" s="7" t="n"/>
      <c r="G23" s="5" t="n"/>
    </row>
    <row r="24">
      <c r="E24" s="3" t="inlineStr">
        <is>
          <t>Batting average, H / AB</t>
        </is>
      </c>
      <c r="F24" s="8" t="n"/>
      <c r="G24" s="5" t="n"/>
    </row>
    <row r="25">
      <c r="E25" s="3" t="inlineStr">
        <is>
          <t>On-base %, (H + BB + HBP) / (AB + BB + HBP + SF)</t>
        </is>
      </c>
      <c r="F25" s="8" t="n"/>
      <c r="G25" s="5" t="n"/>
    </row>
    <row r="26">
      <c r="E26" s="3" t="inlineStr">
        <is>
          <t>Slugging, (1B + 2 x 2B + 3 x 3B + 4 x HR) / AB</t>
        </is>
      </c>
      <c r="F26" s="8" t="n"/>
      <c r="G26" s="5" t="n"/>
    </row>
    <row r="27">
      <c r="E27" s="3" t="inlineStr">
        <is>
          <t>OPS, on-base plus slugging</t>
        </is>
      </c>
      <c r="F27" s="8" t="n"/>
      <c r="G27" s="5" t="n"/>
    </row>
    <row r="28">
      <c r="E28" s="3" t="inlineStr">
        <is>
          <t>Unintentional walks, BB - IBB</t>
        </is>
      </c>
      <c r="F28" s="7" t="n"/>
      <c r="G28" s="5" t="n"/>
    </row>
    <row r="29">
      <c r="E29" s="3" t="inlineStr">
        <is>
          <t>wOBA numerator: each outcome times its weight</t>
        </is>
      </c>
      <c r="F29" s="7" t="n"/>
      <c r="G29" s="5" t="n"/>
    </row>
    <row r="30">
      <c r="E30" s="3" t="inlineStr">
        <is>
          <t>wOBA denominator: AB + uBB + SF + HBP</t>
        </is>
      </c>
      <c r="F30" s="7" t="n"/>
      <c r="G30" s="5" t="n"/>
    </row>
    <row r="31">
      <c r="E31" s="3" t="inlineStr">
        <is>
          <t>wOBA</t>
        </is>
      </c>
      <c r="F31" s="8" t="n"/>
      <c r="G31" s="5" t="n"/>
    </row>
    <row r="34">
      <c r="A34" s="1" t="inlineStr">
        <is>
          <t>Batting average counts every hit once. Slugging weights a hit by the bases it earned. OPS adds on-base percentage to slugging and stops there. wOBA weights every way of reaching base by the runs it produced, on average, across the league. Fill in India, copy the block down for the other two, then rank the three hitters by average, by OPS and by wOBA. Where the rankings disagree, say which one you would trust and whether wOBA's extra work bought anything.</t>
        </is>
      </c>
    </row>
  </sheetData>
  <conditionalFormatting sqref="G3">
    <cfRule type="expression" priority="1" dxfId="0">
      <formula>AND(ISNUMBER(F3),ABS(F3-(($B$4-$B$5-$B$6-$B$7)))&lt;=MAX(0.02*ABS(($B$4-$B$5-$B$6-$B$7)),0.5))</formula>
    </cfRule>
  </conditionalFormatting>
  <conditionalFormatting sqref="G4">
    <cfRule type="expression" priority="2" dxfId="0">
      <formula>AND(ISNUMBER(F4),ABS(F4-(($B$4/$B$3)))&lt;=MAX(0.02*ABS(($B$4/$B$3)),0.002))</formula>
    </cfRule>
  </conditionalFormatting>
  <conditionalFormatting sqref="G5">
    <cfRule type="expression" priority="3" dxfId="0">
      <formula>AND(ISNUMBER(F5),ABS(F5-((($B$4+$B$8+$B$10)/($B$3+$B$8+$B$10+$B$11))))&lt;=MAX(0.02*ABS((($B$4+$B$8+$B$10)/($B$3+$B$8+$B$10+$B$11))),0.002))</formula>
    </cfRule>
  </conditionalFormatting>
  <conditionalFormatting sqref="G6">
    <cfRule type="expression" priority="4" dxfId="0">
      <formula>AND(ISNUMBER(F6),ABS(F6-(((($B$4-$B$5-$B$6-$B$7)+2*$B$5+3*$B$6+4*$B$7)/$B$3)))&lt;=MAX(0.02*ABS(((($B$4-$B$5-$B$6-$B$7)+2*$B$5+3*$B$6+4*$B$7)/$B$3)),0.003))</formula>
    </cfRule>
  </conditionalFormatting>
  <conditionalFormatting sqref="G7">
    <cfRule type="expression" priority="5" dxfId="0">
      <formula>AND(ISNUMBER(F7),ABS(F7-(((($B$4+$B$8+$B$10)/($B$3+$B$8+$B$10+$B$11))+((($B$4-$B$5-$B$6-$B$7)+2*$B$5+3*$B$6+4*$B$7)/$B$3))))&lt;=MAX(0.02*ABS(((($B$4+$B$8+$B$10)/($B$3+$B$8+$B$10+$B$11))+((($B$4-$B$5-$B$6-$B$7)+2*$B$5+3*$B$6+4*$B$7)/$B$3))),0.003))</formula>
    </cfRule>
  </conditionalFormatting>
  <conditionalFormatting sqref="G8">
    <cfRule type="expression" priority="6" dxfId="0">
      <formula>AND(ISNUMBER(F8),ABS(F8-(($B$8-$B$9)))&lt;=MAX(0.02*ABS(($B$8-$B$9)),0.5))</formula>
    </cfRule>
  </conditionalFormatting>
  <conditionalFormatting sqref="G9">
    <cfRule type="expression" priority="7" dxfId="0">
      <formula>AND(ISNUMBER(F9),ABS(F9-(($B$14*($B$8-$B$9)+$B$15*$B$10+$B$16*($B$4-$B$5-$B$6-$B$7)+$B$17*$B$5+$B$18*$B$6+$B$19*$B$7)))&lt;=MAX(0.02*ABS(($B$14*($B$8-$B$9)+$B$15*$B$10+$B$16*($B$4-$B$5-$B$6-$B$7)+$B$17*$B$5+$B$18*$B$6+$B$19*$B$7)),0.5))</formula>
    </cfRule>
  </conditionalFormatting>
  <conditionalFormatting sqref="G10">
    <cfRule type="expression" priority="8" dxfId="0">
      <formula>AND(ISNUMBER(F10),ABS(F10-(($B$3+($B$8-$B$9)+$B$11+$B$10)))&lt;=MAX(0.02*ABS(($B$3+($B$8-$B$9)+$B$11+$B$10)),0.5))</formula>
    </cfRule>
  </conditionalFormatting>
  <conditionalFormatting sqref="G11">
    <cfRule type="expression" priority="9" dxfId="0">
      <formula>AND(ISNUMBER(F11),ABS(F11-((($B$14*($B$8-$B$9)+$B$15*$B$10+$B$16*($B$4-$B$5-$B$6-$B$7)+$B$17*$B$5+$B$18*$B$6+$B$19*$B$7)/($B$3+($B$8-$B$9)+$B$11+$B$10))))&lt;=MAX(0.02*ABS((($B$14*($B$8-$B$9)+$B$15*$B$10+$B$16*($B$4-$B$5-$B$6-$B$7)+$B$17*$B$5+$B$18*$B$6+$B$19*$B$7)/($B$3+($B$8-$B$9)+$B$11+$B$10))),0.003))</formula>
    </cfRule>
  </conditionalFormatting>
  <conditionalFormatting sqref="G13">
    <cfRule type="expression" priority="10" dxfId="0">
      <formula>AND(ISNUMBER(F13),ABS(F13-(($C$4-$C$5-$C$6-$C$7)))&lt;=MAX(0.02*ABS(($C$4-$C$5-$C$6-$C$7)),0.5))</formula>
    </cfRule>
  </conditionalFormatting>
  <conditionalFormatting sqref="G14">
    <cfRule type="expression" priority="11" dxfId="0">
      <formula>AND(ISNUMBER(F14),ABS(F14-(($C$4/$C$3)))&lt;=MAX(0.02*ABS(($C$4/$C$3)),0.002))</formula>
    </cfRule>
  </conditionalFormatting>
  <conditionalFormatting sqref="G15">
    <cfRule type="expression" priority="12" dxfId="0">
      <formula>AND(ISNUMBER(F15),ABS(F15-((($C$4+$C$8+$C$10)/($C$3+$C$8+$C$10+$C$11))))&lt;=MAX(0.02*ABS((($C$4+$C$8+$C$10)/($C$3+$C$8+$C$10+$C$11))),0.002))</formula>
    </cfRule>
  </conditionalFormatting>
  <conditionalFormatting sqref="G16">
    <cfRule type="expression" priority="13" dxfId="0">
      <formula>AND(ISNUMBER(F16),ABS(F16-(((($C$4-$C$5-$C$6-$C$7)+2*$C$5+3*$C$6+4*$C$7)/$C$3)))&lt;=MAX(0.02*ABS(((($C$4-$C$5-$C$6-$C$7)+2*$C$5+3*$C$6+4*$C$7)/$C$3)),0.003))</formula>
    </cfRule>
  </conditionalFormatting>
  <conditionalFormatting sqref="G17">
    <cfRule type="expression" priority="14" dxfId="0">
      <formula>AND(ISNUMBER(F17),ABS(F17-(((($C$4+$C$8+$C$10)/($C$3+$C$8+$C$10+$C$11))+((($C$4-$C$5-$C$6-$C$7)+2*$C$5+3*$C$6+4*$C$7)/$C$3))))&lt;=MAX(0.02*ABS(((($C$4+$C$8+$C$10)/($C$3+$C$8+$C$10+$C$11))+((($C$4-$C$5-$C$6-$C$7)+2*$C$5+3*$C$6+4*$C$7)/$C$3))),0.003))</formula>
    </cfRule>
  </conditionalFormatting>
  <conditionalFormatting sqref="G18">
    <cfRule type="expression" priority="15" dxfId="0">
      <formula>AND(ISNUMBER(F18),ABS(F18-(($C$8-$C$9)))&lt;=MAX(0.02*ABS(($C$8-$C$9)),0.5))</formula>
    </cfRule>
  </conditionalFormatting>
  <conditionalFormatting sqref="G19">
    <cfRule type="expression" priority="16" dxfId="0">
      <formula>AND(ISNUMBER(F19),ABS(F19-(($B$14*($C$8-$C$9)+$B$15*$C$10+$B$16*($C$4-$C$5-$C$6-$C$7)+$B$17*$C$5+$B$18*$C$6+$B$19*$C$7)))&lt;=MAX(0.02*ABS(($B$14*($C$8-$C$9)+$B$15*$C$10+$B$16*($C$4-$C$5-$C$6-$C$7)+$B$17*$C$5+$B$18*$C$6+$B$19*$C$7)),0.5))</formula>
    </cfRule>
  </conditionalFormatting>
  <conditionalFormatting sqref="G20">
    <cfRule type="expression" priority="17" dxfId="0">
      <formula>AND(ISNUMBER(F20),ABS(F20-(($C$3+($C$8-$C$9)+$C$11+$C$10)))&lt;=MAX(0.02*ABS(($C$3+($C$8-$C$9)+$C$11+$C$10)),0.5))</formula>
    </cfRule>
  </conditionalFormatting>
  <conditionalFormatting sqref="G21">
    <cfRule type="expression" priority="18" dxfId="0">
      <formula>AND(ISNUMBER(F21),ABS(F21-((($B$14*($C$8-$C$9)+$B$15*$C$10+$B$16*($C$4-$C$5-$C$6-$C$7)+$B$17*$C$5+$B$18*$C$6+$B$19*$C$7)/($C$3+($C$8-$C$9)+$C$11+$C$10))))&lt;=MAX(0.02*ABS((($B$14*($C$8-$C$9)+$B$15*$C$10+$B$16*($C$4-$C$5-$C$6-$C$7)+$B$17*$C$5+$B$18*$C$6+$B$19*$C$7)/($C$3+($C$8-$C$9)+$C$11+$C$10))),0.003))</formula>
    </cfRule>
  </conditionalFormatting>
  <conditionalFormatting sqref="G23">
    <cfRule type="expression" priority="19" dxfId="0">
      <formula>AND(ISNUMBER(F23),ABS(F23-(($D$4-$D$5-$D$6-$D$7)))&lt;=MAX(0.02*ABS(($D$4-$D$5-$D$6-$D$7)),0.5))</formula>
    </cfRule>
  </conditionalFormatting>
  <conditionalFormatting sqref="G24">
    <cfRule type="expression" priority="20" dxfId="0">
      <formula>AND(ISNUMBER(F24),ABS(F24-(($D$4/$D$3)))&lt;=MAX(0.02*ABS(($D$4/$D$3)),0.002))</formula>
    </cfRule>
  </conditionalFormatting>
  <conditionalFormatting sqref="G25">
    <cfRule type="expression" priority="21" dxfId="0">
      <formula>AND(ISNUMBER(F25),ABS(F25-((($D$4+$D$8+$D$10)/($D$3+$D$8+$D$10+$D$11))))&lt;=MAX(0.02*ABS((($D$4+$D$8+$D$10)/($D$3+$D$8+$D$10+$D$11))),0.002))</formula>
    </cfRule>
  </conditionalFormatting>
  <conditionalFormatting sqref="G26">
    <cfRule type="expression" priority="22" dxfId="0">
      <formula>AND(ISNUMBER(F26),ABS(F26-(((($D$4-$D$5-$D$6-$D$7)+2*$D$5+3*$D$6+4*$D$7)/$D$3)))&lt;=MAX(0.02*ABS(((($D$4-$D$5-$D$6-$D$7)+2*$D$5+3*$D$6+4*$D$7)/$D$3)),0.003))</formula>
    </cfRule>
  </conditionalFormatting>
  <conditionalFormatting sqref="G27">
    <cfRule type="expression" priority="23" dxfId="0">
      <formula>AND(ISNUMBER(F27),ABS(F27-(((($D$4+$D$8+$D$10)/($D$3+$D$8+$D$10+$D$11))+((($D$4-$D$5-$D$6-$D$7)+2*$D$5+3*$D$6+4*$D$7)/$D$3))))&lt;=MAX(0.02*ABS(((($D$4+$D$8+$D$10)/($D$3+$D$8+$D$10+$D$11))+((($D$4-$D$5-$D$6-$D$7)+2*$D$5+3*$D$6+4*$D$7)/$D$3))),0.003))</formula>
    </cfRule>
  </conditionalFormatting>
  <conditionalFormatting sqref="G28">
    <cfRule type="expression" priority="24" dxfId="0">
      <formula>AND(ISNUMBER(F28),ABS(F28-(($D$8-$D$9)))&lt;=MAX(0.02*ABS(($D$8-$D$9)),0.5))</formula>
    </cfRule>
  </conditionalFormatting>
  <conditionalFormatting sqref="G29">
    <cfRule type="expression" priority="25" dxfId="0">
      <formula>AND(ISNUMBER(F29),ABS(F29-(($B$14*($D$8-$D$9)+$B$15*$D$10+$B$16*($D$4-$D$5-$D$6-$D$7)+$B$17*$D$5+$B$18*$D$6+$B$19*$D$7)))&lt;=MAX(0.02*ABS(($B$14*($D$8-$D$9)+$B$15*$D$10+$B$16*($D$4-$D$5-$D$6-$D$7)+$B$17*$D$5+$B$18*$D$6+$B$19*$D$7)),0.5))</formula>
    </cfRule>
  </conditionalFormatting>
  <conditionalFormatting sqref="G30">
    <cfRule type="expression" priority="26" dxfId="0">
      <formula>AND(ISNUMBER(F30),ABS(F30-(($D$3+($D$8-$D$9)+$D$11+$D$10)))&lt;=MAX(0.02*ABS(($D$3+($D$8-$D$9)+$D$11+$D$10)),0.5))</formula>
    </cfRule>
  </conditionalFormatting>
  <conditionalFormatting sqref="G31">
    <cfRule type="expression" priority="27" dxfId="0">
      <formula>AND(ISNUMBER(F31),ABS(F31-((($B$14*($D$8-$D$9)+$B$15*$D$10+$B$16*($D$4-$D$5-$D$6-$D$7)+$B$17*$D$5+$B$18*$D$6+$B$19*$D$7)/($D$3+($D$8-$D$9)+$D$11+$D$10))))&lt;=MAX(0.02*ABS((($B$14*($D$8-$D$9)+$B$15*$D$10+$B$16*($D$4-$D$5-$D$6-$D$7)+$B$17*$D$5+$B$18*$D$6+$B$19*$D$7)/($D$3+($D$8-$D$9)+$D$11+$D$10))),0.003)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9" customWidth="1" min="1" max="1"/>
    <col width="9" customWidth="1" min="2" max="2"/>
    <col width="9" customWidth="1" min="3" max="3"/>
    <col width="60" customWidth="1" min="4" max="4"/>
    <col width="9" customWidth="1" min="5" max="5"/>
    <col width="9" customWidth="1" min="6" max="6"/>
    <col width="9" customWidth="1" min="7" max="7"/>
    <col width="9" customWidth="1" min="8" max="8"/>
    <col width="14" customWidth="1" min="9" max="9"/>
    <col width="7" customWidth="1" min="10" max="10"/>
    <col width="7" customWidth="1" min="11" max="11"/>
    <col width="7" customWidth="1" min="12" max="12"/>
  </cols>
  <sheetData>
    <row r="1">
      <c r="A1" s="1" t="inlineStr">
        <is>
          <t>Baltimore at Buffalo, Week 1, BUF 41, BAL 40. 12 of the game's 163 plays. nflverse.</t>
        </is>
      </c>
    </row>
    <row r="2">
      <c r="A2" s="2" t="inlineStr">
        <is>
          <t>Clock</t>
        </is>
      </c>
      <c r="B2" s="2" t="inlineStr">
        <is>
          <t>Offense</t>
        </is>
      </c>
      <c r="C2" s="2" t="inlineStr">
        <is>
          <t>Score</t>
        </is>
      </c>
      <c r="D2" s="2" t="inlineStr">
        <is>
          <t>Play</t>
        </is>
      </c>
      <c r="E2" s="2" t="inlineStr">
        <is>
          <t>EPA</t>
        </is>
      </c>
      <c r="F2" s="2" t="inlineStr">
        <is>
          <t>WPA</t>
        </is>
      </c>
      <c r="G2" s="2" t="inlineStr">
        <is>
          <t>z EPA</t>
        </is>
      </c>
      <c r="H2" s="2" t="inlineStr">
        <is>
          <t>z WPA</t>
        </is>
      </c>
      <c r="I2" s="2" t="inlineStr">
        <is>
          <t>z WPA - z EPA</t>
        </is>
      </c>
      <c r="J2" s="2" t="inlineStr">
        <is>
          <t>Check</t>
        </is>
      </c>
      <c r="K2" s="2" t="inlineStr">
        <is>
          <t>Check</t>
        </is>
      </c>
      <c r="L2" s="2" t="inlineStr">
        <is>
          <t>Check</t>
        </is>
      </c>
    </row>
    <row r="3">
      <c r="A3" t="inlineStr">
        <is>
          <t>Q2 01:46</t>
        </is>
      </c>
      <c r="B3" t="inlineStr">
        <is>
          <t>BAL</t>
        </is>
      </c>
      <c r="C3" t="inlineStr">
        <is>
          <t>17-10</t>
        </is>
      </c>
      <c r="D3" s="9" t="inlineStr">
        <is>
          <t>43-J.Hill left tackle to BUF 23 for -6 yards. FUMBLES, and recovers at BUF 29. 43-J.Hill to BUF 32...</t>
        </is>
      </c>
      <c r="E3" s="10" t="n">
        <v>-2.216</v>
      </c>
      <c r="F3" s="11" t="n">
        <v>-0.0177</v>
      </c>
      <c r="G3" s="6" t="n"/>
      <c r="H3" s="6" t="n"/>
      <c r="I3" s="6" t="n"/>
      <c r="J3" s="5" t="n"/>
      <c r="K3" s="5" t="n"/>
      <c r="L3" s="5" t="n"/>
    </row>
    <row r="4">
      <c r="A4" t="inlineStr">
        <is>
          <t>Q3 13:42</t>
        </is>
      </c>
      <c r="B4" t="inlineStr">
        <is>
          <t>BAL</t>
        </is>
      </c>
      <c r="C4" t="inlineStr">
        <is>
          <t>20-13</t>
        </is>
      </c>
      <c r="D4" s="9" t="inlineStr">
        <is>
          <t>8-L.Jackson pass deep middle to 4-Z.Flowers to BUF 23 for 39 yards.</t>
        </is>
      </c>
      <c r="E4" s="10" t="n">
        <v>4.151</v>
      </c>
      <c r="F4" s="11" t="n">
        <v>0.097</v>
      </c>
      <c r="G4" s="6" t="n"/>
      <c r="H4" s="6" t="n"/>
      <c r="I4" s="6" t="n"/>
      <c r="J4" s="5" t="n"/>
      <c r="K4" s="5" t="n"/>
      <c r="L4" s="5" t="n"/>
    </row>
    <row r="5">
      <c r="A5" t="inlineStr">
        <is>
          <t>Q3 01:14</t>
        </is>
      </c>
      <c r="B5" t="inlineStr">
        <is>
          <t>BAL</t>
        </is>
      </c>
      <c r="C5" t="inlineStr">
        <is>
          <t>27-19</t>
        </is>
      </c>
      <c r="D5" s="9" t="inlineStr">
        <is>
          <t>8-L.Jackson pass deep right to 10-D.Hopkins for 29 yards, TOUCHDOWN.</t>
        </is>
      </c>
      <c r="E5" s="10" t="n">
        <v>3.422</v>
      </c>
      <c r="F5" s="11" t="n">
        <v>0.0529</v>
      </c>
      <c r="G5" s="6" t="n"/>
      <c r="H5" s="6" t="n"/>
      <c r="I5" s="6" t="n"/>
      <c r="J5" s="5" t="n"/>
      <c r="K5" s="5" t="n"/>
      <c r="L5" s="5" t="n"/>
    </row>
    <row r="6">
      <c r="A6" t="inlineStr">
        <is>
          <t>Q4 14:06</t>
        </is>
      </c>
      <c r="B6" t="inlineStr">
        <is>
          <t>BUF</t>
        </is>
      </c>
      <c r="C6" t="inlineStr">
        <is>
          <t>19-34</t>
        </is>
      </c>
      <c r="D6" s="9" t="inlineStr">
        <is>
          <t>17-J.Allen pass short right to 4-J.Cook to BAL 2 for 51 yards.</t>
        </is>
      </c>
      <c r="E6" s="10" t="n">
        <v>4.995</v>
      </c>
      <c r="F6" s="11" t="n">
        <v>0.0641</v>
      </c>
      <c r="G6" s="6" t="n"/>
      <c r="H6" s="6" t="n"/>
      <c r="I6" s="6" t="n"/>
      <c r="J6" s="5" t="n"/>
      <c r="K6" s="5" t="n"/>
      <c r="L6" s="5" t="n"/>
    </row>
    <row r="7">
      <c r="A7" t="inlineStr">
        <is>
          <t>Q4 11:50</t>
        </is>
      </c>
      <c r="B7" t="inlineStr">
        <is>
          <t>BAL</t>
        </is>
      </c>
      <c r="C7" t="inlineStr">
        <is>
          <t>34-25</t>
        </is>
      </c>
      <c r="D7" s="9" t="inlineStr">
        <is>
          <t>22-D.Henry left tackle for 46 yards, TOUCHDOWN.</t>
        </is>
      </c>
      <c r="E7" s="10" t="n">
        <v>4.25</v>
      </c>
      <c r="F7" s="11" t="n">
        <v>0.0466</v>
      </c>
      <c r="G7" s="6" t="n"/>
      <c r="H7" s="6" t="n"/>
      <c r="I7" s="6" t="n"/>
      <c r="J7" s="5" t="n"/>
      <c r="K7" s="5" t="n"/>
      <c r="L7" s="5" t="n"/>
    </row>
    <row r="8">
      <c r="A8" t="inlineStr">
        <is>
          <t>Q4 04:05</t>
        </is>
      </c>
      <c r="B8" t="inlineStr">
        <is>
          <t>BUF</t>
        </is>
      </c>
      <c r="C8" t="inlineStr">
        <is>
          <t>25-40</t>
        </is>
      </c>
      <c r="D8" s="9" t="inlineStr">
        <is>
          <t>17-J.Allen pass short right to 0-K.Coleman for 10 yards, TOUCHDOWN.</t>
        </is>
      </c>
      <c r="E8" s="10" t="n">
        <v>3.997</v>
      </c>
      <c r="F8" s="11" t="n">
        <v>0.0184</v>
      </c>
      <c r="G8" s="6" t="n"/>
      <c r="H8" s="6" t="n"/>
      <c r="I8" s="6" t="n"/>
      <c r="J8" s="5" t="n"/>
      <c r="K8" s="5" t="n"/>
      <c r="L8" s="5" t="n"/>
    </row>
    <row r="9">
      <c r="A9" t="inlineStr">
        <is>
          <t>Q4 03:10</t>
        </is>
      </c>
      <c r="B9" t="inlineStr">
        <is>
          <t>BAL</t>
        </is>
      </c>
      <c r="C9" t="inlineStr">
        <is>
          <t>40-32</t>
        </is>
      </c>
      <c r="D9" s="9" t="inlineStr">
        <is>
          <t>66-B.Cleveland reported in as eligible. 22-D.Henry left tackle to BAL 38 for -3 yards. FUMBLES, tou...</t>
        </is>
      </c>
      <c r="E9" s="10" t="n">
        <v>-5.282</v>
      </c>
      <c r="F9" s="11" t="n">
        <v>-0.0893</v>
      </c>
      <c r="G9" s="6" t="n"/>
      <c r="H9" s="6" t="n"/>
      <c r="I9" s="6" t="n"/>
      <c r="J9" s="5" t="n"/>
      <c r="K9" s="5" t="n"/>
      <c r="L9" s="5" t="n"/>
    </row>
    <row r="10">
      <c r="A10" t="inlineStr">
        <is>
          <t>Q4 01:58</t>
        </is>
      </c>
      <c r="B10" t="inlineStr">
        <is>
          <t>BUF</t>
        </is>
      </c>
      <c r="C10" t="inlineStr">
        <is>
          <t>38-40</t>
        </is>
      </c>
      <c r="D10" s="9" t="inlineStr">
        <is>
          <t>TWO-POINT CONVERSION ATTEMPT. 17-J.Allen pass to 0-K.Coleman is incomplete. ATTEMPT FAILS.</t>
        </is>
      </c>
      <c r="E10" s="10" t="n">
        <v>-0.947</v>
      </c>
      <c r="F10" s="11" t="n">
        <v>-0.1411</v>
      </c>
      <c r="G10" s="6" t="n"/>
      <c r="H10" s="6" t="n"/>
      <c r="I10" s="6" t="n"/>
      <c r="J10" s="5" t="n"/>
      <c r="K10" s="5" t="n"/>
      <c r="L10" s="5" t="n"/>
    </row>
    <row r="11">
      <c r="A11" t="inlineStr">
        <is>
          <t>Q4 01:33</t>
        </is>
      </c>
      <c r="B11" t="inlineStr">
        <is>
          <t>BAL</t>
        </is>
      </c>
      <c r="C11" t="inlineStr">
        <is>
          <t>40-38</t>
        </is>
      </c>
      <c r="D11" s="9" t="inlineStr">
        <is>
          <t>11-J.Stout punts 42 yards to BUF 20, Center-46-N.Moore, out of bounds.</t>
        </is>
      </c>
      <c r="E11" s="10" t="n">
        <v>-0.304</v>
      </c>
      <c r="F11" s="11" t="n">
        <v>-0.2096</v>
      </c>
      <c r="G11" s="6" t="n"/>
      <c r="H11" s="6" t="n"/>
      <c r="I11" s="6" t="n"/>
      <c r="J11" s="5" t="n"/>
      <c r="K11" s="5" t="n"/>
      <c r="L11" s="5" t="n"/>
    </row>
    <row r="12">
      <c r="A12" t="inlineStr">
        <is>
          <t>Q4 00:53</t>
        </is>
      </c>
      <c r="B12" t="inlineStr">
        <is>
          <t>BUF</t>
        </is>
      </c>
      <c r="C12" t="inlineStr">
        <is>
          <t>38-40</t>
        </is>
      </c>
      <c r="D12" s="9" t="inlineStr">
        <is>
          <t>17-J.Allen pass deep left to 5-J.Palmer ran ob at BAL 34 for 32 yards.</t>
        </is>
      </c>
      <c r="E12" s="10" t="n">
        <v>2.219</v>
      </c>
      <c r="F12" s="11" t="n">
        <v>0.1896</v>
      </c>
      <c r="G12" s="6" t="n"/>
      <c r="H12" s="6" t="n"/>
      <c r="I12" s="6" t="n"/>
      <c r="J12" s="5" t="n"/>
      <c r="K12" s="5" t="n"/>
      <c r="L12" s="5" t="n"/>
    </row>
    <row r="13">
      <c r="A13" t="inlineStr">
        <is>
          <t>Q4 00:46</t>
        </is>
      </c>
      <c r="B13" t="inlineStr">
        <is>
          <t>BUF</t>
        </is>
      </c>
      <c r="C13" t="inlineStr">
        <is>
          <t>38-40</t>
        </is>
      </c>
      <c r="D13" s="9" t="inlineStr">
        <is>
          <t>17-J.Allen pass short middle to 0-K.Coleman to BAL 9 for 25 yards.</t>
        </is>
      </c>
      <c r="E13" s="10" t="n">
        <v>1.897</v>
      </c>
      <c r="F13" s="11" t="n">
        <v>0.197</v>
      </c>
      <c r="G13" s="6" t="n"/>
      <c r="H13" s="6" t="n"/>
      <c r="I13" s="6" t="n"/>
      <c r="J13" s="5" t="n"/>
      <c r="K13" s="5" t="n"/>
      <c r="L13" s="5" t="n"/>
    </row>
    <row r="14">
      <c r="A14" t="inlineStr">
        <is>
          <t>Q4 00:03</t>
        </is>
      </c>
      <c r="B14" t="inlineStr">
        <is>
          <t>BUF</t>
        </is>
      </c>
      <c r="C14" t="inlineStr">
        <is>
          <t>38-40</t>
        </is>
      </c>
      <c r="D14" s="9" t="inlineStr">
        <is>
          <t>15-M.Prater 32 yard field goal is GOOD, Center-69-R.Ferguson, Holder-40-B.Robbins.</t>
        </is>
      </c>
      <c r="E14" s="10" t="n">
        <v>0.178</v>
      </c>
      <c r="F14" s="11" t="n">
        <v>0.3854</v>
      </c>
      <c r="G14" s="6" t="n"/>
      <c r="H14" s="6" t="n"/>
      <c r="I14" s="6" t="n"/>
      <c r="J14" s="5" t="n"/>
      <c r="K14" s="5" t="n"/>
      <c r="L14" s="5" t="n"/>
    </row>
    <row r="16">
      <c r="E16" s="2" t="inlineStr">
        <is>
          <t>Your answer</t>
        </is>
      </c>
      <c r="F16" s="2" t="inlineStr">
        <is>
          <t>Check</t>
        </is>
      </c>
    </row>
    <row r="17">
      <c r="D17" s="3" t="inlineStr">
        <is>
          <t>Correlation between EPA and WPA across these plays, CORREL</t>
        </is>
      </c>
      <c r="E17" s="6" t="n"/>
      <c r="F17" s="5" t="n"/>
    </row>
    <row r="18">
      <c r="D18" s="3" t="inlineStr">
        <is>
          <t>Largest disagreement, ignoring sign: MAX of the absolute values</t>
        </is>
      </c>
      <c r="E18" s="6" t="n"/>
      <c r="F18" s="5" t="n"/>
    </row>
    <row r="20">
      <c r="A20" s="1" t="inlineStr">
        <is>
          <t>STANDARDIZE(x, mean, standard deviation) puts EPA and WPA on the same scale so they can be compared. A positive number in the last column is a play that mattered more to the win than to the score; a negative one is the reverse. Find the two biggest, in either direction, look at the score column next to them, and say what they have in common.</t>
        </is>
      </c>
    </row>
  </sheetData>
  <conditionalFormatting sqref="J3">
    <cfRule type="expression" priority="1" dxfId="0">
      <formula>AND(ISNUMBER(G3),ABS(G3-(STANDARDIZE($E3,AVERAGE($E$3:$E$14),_xlfn.STDEV.S($E$3:$E$14))))&lt;=MAX(0.02*ABS(STANDARDIZE($E3,AVERAGE($E$3:$E$14),_xlfn.STDEV.S($E$3:$E$14))),0.02))</formula>
    </cfRule>
  </conditionalFormatting>
  <conditionalFormatting sqref="K3">
    <cfRule type="expression" priority="2" dxfId="0">
      <formula>AND(ISNUMBER(H3),ABS(H3-(STANDARDIZE($F3,AVERAGE($F$3:$F$14),_xlfn.STDEV.S($F$3:$F$14))))&lt;=MAX(0.02*ABS(STANDARDIZE($F3,AVERAGE($F$3:$F$14),_xlfn.STDEV.S($F$3:$F$14))),0.02))</formula>
    </cfRule>
  </conditionalFormatting>
  <conditionalFormatting sqref="L3">
    <cfRule type="expression" priority="3" dxfId="0">
      <formula>AND(ISNUMBER(I3),ABS(I3-((STANDARDIZE($F3,AVERAGE($F$3:$F$14),_xlfn.STDEV.S($F$3:$F$14))-STANDARDIZE($E3,AVERAGE($E$3:$E$14),_xlfn.STDEV.S($E$3:$E$14)))))&lt;=MAX(0.02*ABS((STANDARDIZE($F3,AVERAGE($F$3:$F$14),_xlfn.STDEV.S($F$3:$F$14))-STANDARDIZE($E3,AVERAGE($E$3:$E$14),_xlfn.STDEV.S($E$3:$E$14)))),0.02))</formula>
    </cfRule>
  </conditionalFormatting>
  <conditionalFormatting sqref="J4">
    <cfRule type="expression" priority="4" dxfId="0">
      <formula>AND(ISNUMBER(G4),ABS(G4-(STANDARDIZE($E4,AVERAGE($E$3:$E$14),_xlfn.STDEV.S($E$3:$E$14))))&lt;=MAX(0.02*ABS(STANDARDIZE($E4,AVERAGE($E$3:$E$14),_xlfn.STDEV.S($E$3:$E$14))),0.02))</formula>
    </cfRule>
  </conditionalFormatting>
  <conditionalFormatting sqref="K4">
    <cfRule type="expression" priority="5" dxfId="0">
      <formula>AND(ISNUMBER(H4),ABS(H4-(STANDARDIZE($F4,AVERAGE($F$3:$F$14),_xlfn.STDEV.S($F$3:$F$14))))&lt;=MAX(0.02*ABS(STANDARDIZE($F4,AVERAGE($F$3:$F$14),_xlfn.STDEV.S($F$3:$F$14))),0.02))</formula>
    </cfRule>
  </conditionalFormatting>
  <conditionalFormatting sqref="L4">
    <cfRule type="expression" priority="6" dxfId="0">
      <formula>AND(ISNUMBER(I4),ABS(I4-((STANDARDIZE($F4,AVERAGE($F$3:$F$14),_xlfn.STDEV.S($F$3:$F$14))-STANDARDIZE($E4,AVERAGE($E$3:$E$14),_xlfn.STDEV.S($E$3:$E$14)))))&lt;=MAX(0.02*ABS((STANDARDIZE($F4,AVERAGE($F$3:$F$14),_xlfn.STDEV.S($F$3:$F$14))-STANDARDIZE($E4,AVERAGE($E$3:$E$14),_xlfn.STDEV.S($E$3:$E$14)))),0.02))</formula>
    </cfRule>
  </conditionalFormatting>
  <conditionalFormatting sqref="J5">
    <cfRule type="expression" priority="7" dxfId="0">
      <formula>AND(ISNUMBER(G5),ABS(G5-(STANDARDIZE($E5,AVERAGE($E$3:$E$14),_xlfn.STDEV.S($E$3:$E$14))))&lt;=MAX(0.02*ABS(STANDARDIZE($E5,AVERAGE($E$3:$E$14),_xlfn.STDEV.S($E$3:$E$14))),0.02))</formula>
    </cfRule>
  </conditionalFormatting>
  <conditionalFormatting sqref="K5">
    <cfRule type="expression" priority="8" dxfId="0">
      <formula>AND(ISNUMBER(H5),ABS(H5-(STANDARDIZE($F5,AVERAGE($F$3:$F$14),_xlfn.STDEV.S($F$3:$F$14))))&lt;=MAX(0.02*ABS(STANDARDIZE($F5,AVERAGE($F$3:$F$14),_xlfn.STDEV.S($F$3:$F$14))),0.02))</formula>
    </cfRule>
  </conditionalFormatting>
  <conditionalFormatting sqref="L5">
    <cfRule type="expression" priority="9" dxfId="0">
      <formula>AND(ISNUMBER(I5),ABS(I5-((STANDARDIZE($F5,AVERAGE($F$3:$F$14),_xlfn.STDEV.S($F$3:$F$14))-STANDARDIZE($E5,AVERAGE($E$3:$E$14),_xlfn.STDEV.S($E$3:$E$14)))))&lt;=MAX(0.02*ABS((STANDARDIZE($F5,AVERAGE($F$3:$F$14),_xlfn.STDEV.S($F$3:$F$14))-STANDARDIZE($E5,AVERAGE($E$3:$E$14),_xlfn.STDEV.S($E$3:$E$14)))),0.02))</formula>
    </cfRule>
  </conditionalFormatting>
  <conditionalFormatting sqref="J6">
    <cfRule type="expression" priority="10" dxfId="0">
      <formula>AND(ISNUMBER(G6),ABS(G6-(STANDARDIZE($E6,AVERAGE($E$3:$E$14),_xlfn.STDEV.S($E$3:$E$14))))&lt;=MAX(0.02*ABS(STANDARDIZE($E6,AVERAGE($E$3:$E$14),_xlfn.STDEV.S($E$3:$E$14))),0.02))</formula>
    </cfRule>
  </conditionalFormatting>
  <conditionalFormatting sqref="K6">
    <cfRule type="expression" priority="11" dxfId="0">
      <formula>AND(ISNUMBER(H6),ABS(H6-(STANDARDIZE($F6,AVERAGE($F$3:$F$14),_xlfn.STDEV.S($F$3:$F$14))))&lt;=MAX(0.02*ABS(STANDARDIZE($F6,AVERAGE($F$3:$F$14),_xlfn.STDEV.S($F$3:$F$14))),0.02))</formula>
    </cfRule>
  </conditionalFormatting>
  <conditionalFormatting sqref="L6">
    <cfRule type="expression" priority="12" dxfId="0">
      <formula>AND(ISNUMBER(I6),ABS(I6-((STANDARDIZE($F6,AVERAGE($F$3:$F$14),_xlfn.STDEV.S($F$3:$F$14))-STANDARDIZE($E6,AVERAGE($E$3:$E$14),_xlfn.STDEV.S($E$3:$E$14)))))&lt;=MAX(0.02*ABS((STANDARDIZE($F6,AVERAGE($F$3:$F$14),_xlfn.STDEV.S($F$3:$F$14))-STANDARDIZE($E6,AVERAGE($E$3:$E$14),_xlfn.STDEV.S($E$3:$E$14)))),0.02))</formula>
    </cfRule>
  </conditionalFormatting>
  <conditionalFormatting sqref="J7">
    <cfRule type="expression" priority="13" dxfId="0">
      <formula>AND(ISNUMBER(G7),ABS(G7-(STANDARDIZE($E7,AVERAGE($E$3:$E$14),_xlfn.STDEV.S($E$3:$E$14))))&lt;=MAX(0.02*ABS(STANDARDIZE($E7,AVERAGE($E$3:$E$14),_xlfn.STDEV.S($E$3:$E$14))),0.02))</formula>
    </cfRule>
  </conditionalFormatting>
  <conditionalFormatting sqref="K7">
    <cfRule type="expression" priority="14" dxfId="0">
      <formula>AND(ISNUMBER(H7),ABS(H7-(STANDARDIZE($F7,AVERAGE($F$3:$F$14),_xlfn.STDEV.S($F$3:$F$14))))&lt;=MAX(0.02*ABS(STANDARDIZE($F7,AVERAGE($F$3:$F$14),_xlfn.STDEV.S($F$3:$F$14))),0.02))</formula>
    </cfRule>
  </conditionalFormatting>
  <conditionalFormatting sqref="L7">
    <cfRule type="expression" priority="15" dxfId="0">
      <formula>AND(ISNUMBER(I7),ABS(I7-((STANDARDIZE($F7,AVERAGE($F$3:$F$14),_xlfn.STDEV.S($F$3:$F$14))-STANDARDIZE($E7,AVERAGE($E$3:$E$14),_xlfn.STDEV.S($E$3:$E$14)))))&lt;=MAX(0.02*ABS((STANDARDIZE($F7,AVERAGE($F$3:$F$14),_xlfn.STDEV.S($F$3:$F$14))-STANDARDIZE($E7,AVERAGE($E$3:$E$14),_xlfn.STDEV.S($E$3:$E$14)))),0.02))</formula>
    </cfRule>
  </conditionalFormatting>
  <conditionalFormatting sqref="J8">
    <cfRule type="expression" priority="16" dxfId="0">
      <formula>AND(ISNUMBER(G8),ABS(G8-(STANDARDIZE($E8,AVERAGE($E$3:$E$14),_xlfn.STDEV.S($E$3:$E$14))))&lt;=MAX(0.02*ABS(STANDARDIZE($E8,AVERAGE($E$3:$E$14),_xlfn.STDEV.S($E$3:$E$14))),0.02))</formula>
    </cfRule>
  </conditionalFormatting>
  <conditionalFormatting sqref="K8">
    <cfRule type="expression" priority="17" dxfId="0">
      <formula>AND(ISNUMBER(H8),ABS(H8-(STANDARDIZE($F8,AVERAGE($F$3:$F$14),_xlfn.STDEV.S($F$3:$F$14))))&lt;=MAX(0.02*ABS(STANDARDIZE($F8,AVERAGE($F$3:$F$14),_xlfn.STDEV.S($F$3:$F$14))),0.02))</formula>
    </cfRule>
  </conditionalFormatting>
  <conditionalFormatting sqref="L8">
    <cfRule type="expression" priority="18" dxfId="0">
      <formula>AND(ISNUMBER(I8),ABS(I8-((STANDARDIZE($F8,AVERAGE($F$3:$F$14),_xlfn.STDEV.S($F$3:$F$14))-STANDARDIZE($E8,AVERAGE($E$3:$E$14),_xlfn.STDEV.S($E$3:$E$14)))))&lt;=MAX(0.02*ABS((STANDARDIZE($F8,AVERAGE($F$3:$F$14),_xlfn.STDEV.S($F$3:$F$14))-STANDARDIZE($E8,AVERAGE($E$3:$E$14),_xlfn.STDEV.S($E$3:$E$14)))),0.02))</formula>
    </cfRule>
  </conditionalFormatting>
  <conditionalFormatting sqref="J9">
    <cfRule type="expression" priority="19" dxfId="0">
      <formula>AND(ISNUMBER(G9),ABS(G9-(STANDARDIZE($E9,AVERAGE($E$3:$E$14),_xlfn.STDEV.S($E$3:$E$14))))&lt;=MAX(0.02*ABS(STANDARDIZE($E9,AVERAGE($E$3:$E$14),_xlfn.STDEV.S($E$3:$E$14))),0.02))</formula>
    </cfRule>
  </conditionalFormatting>
  <conditionalFormatting sqref="K9">
    <cfRule type="expression" priority="20" dxfId="0">
      <formula>AND(ISNUMBER(H9),ABS(H9-(STANDARDIZE($F9,AVERAGE($F$3:$F$14),_xlfn.STDEV.S($F$3:$F$14))))&lt;=MAX(0.02*ABS(STANDARDIZE($F9,AVERAGE($F$3:$F$14),_xlfn.STDEV.S($F$3:$F$14))),0.02))</formula>
    </cfRule>
  </conditionalFormatting>
  <conditionalFormatting sqref="L9">
    <cfRule type="expression" priority="21" dxfId="0">
      <formula>AND(ISNUMBER(I9),ABS(I9-((STANDARDIZE($F9,AVERAGE($F$3:$F$14),_xlfn.STDEV.S($F$3:$F$14))-STANDARDIZE($E9,AVERAGE($E$3:$E$14),_xlfn.STDEV.S($E$3:$E$14)))))&lt;=MAX(0.02*ABS((STANDARDIZE($F9,AVERAGE($F$3:$F$14),_xlfn.STDEV.S($F$3:$F$14))-STANDARDIZE($E9,AVERAGE($E$3:$E$14),_xlfn.STDEV.S($E$3:$E$14)))),0.02))</formula>
    </cfRule>
  </conditionalFormatting>
  <conditionalFormatting sqref="J10">
    <cfRule type="expression" priority="22" dxfId="0">
      <formula>AND(ISNUMBER(G10),ABS(G10-(STANDARDIZE($E10,AVERAGE($E$3:$E$14),_xlfn.STDEV.S($E$3:$E$14))))&lt;=MAX(0.02*ABS(STANDARDIZE($E10,AVERAGE($E$3:$E$14),_xlfn.STDEV.S($E$3:$E$14))),0.02))</formula>
    </cfRule>
  </conditionalFormatting>
  <conditionalFormatting sqref="K10">
    <cfRule type="expression" priority="23" dxfId="0">
      <formula>AND(ISNUMBER(H10),ABS(H10-(STANDARDIZE($F10,AVERAGE($F$3:$F$14),_xlfn.STDEV.S($F$3:$F$14))))&lt;=MAX(0.02*ABS(STANDARDIZE($F10,AVERAGE($F$3:$F$14),_xlfn.STDEV.S($F$3:$F$14))),0.02))</formula>
    </cfRule>
  </conditionalFormatting>
  <conditionalFormatting sqref="L10">
    <cfRule type="expression" priority="24" dxfId="0">
      <formula>AND(ISNUMBER(I10),ABS(I10-((STANDARDIZE($F10,AVERAGE($F$3:$F$14),_xlfn.STDEV.S($F$3:$F$14))-STANDARDIZE($E10,AVERAGE($E$3:$E$14),_xlfn.STDEV.S($E$3:$E$14)))))&lt;=MAX(0.02*ABS((STANDARDIZE($F10,AVERAGE($F$3:$F$14),_xlfn.STDEV.S($F$3:$F$14))-STANDARDIZE($E10,AVERAGE($E$3:$E$14),_xlfn.STDEV.S($E$3:$E$14)))),0.02))</formula>
    </cfRule>
  </conditionalFormatting>
  <conditionalFormatting sqref="J11">
    <cfRule type="expression" priority="25" dxfId="0">
      <formula>AND(ISNUMBER(G11),ABS(G11-(STANDARDIZE($E11,AVERAGE($E$3:$E$14),_xlfn.STDEV.S($E$3:$E$14))))&lt;=MAX(0.02*ABS(STANDARDIZE($E11,AVERAGE($E$3:$E$14),_xlfn.STDEV.S($E$3:$E$14))),0.02))</formula>
    </cfRule>
  </conditionalFormatting>
  <conditionalFormatting sqref="K11">
    <cfRule type="expression" priority="26" dxfId="0">
      <formula>AND(ISNUMBER(H11),ABS(H11-(STANDARDIZE($F11,AVERAGE($F$3:$F$14),_xlfn.STDEV.S($F$3:$F$14))))&lt;=MAX(0.02*ABS(STANDARDIZE($F11,AVERAGE($F$3:$F$14),_xlfn.STDEV.S($F$3:$F$14))),0.02))</formula>
    </cfRule>
  </conditionalFormatting>
  <conditionalFormatting sqref="L11">
    <cfRule type="expression" priority="27" dxfId="0">
      <formula>AND(ISNUMBER(I11),ABS(I11-((STANDARDIZE($F11,AVERAGE($F$3:$F$14),_xlfn.STDEV.S($F$3:$F$14))-STANDARDIZE($E11,AVERAGE($E$3:$E$14),_xlfn.STDEV.S($E$3:$E$14)))))&lt;=MAX(0.02*ABS((STANDARDIZE($F11,AVERAGE($F$3:$F$14),_xlfn.STDEV.S($F$3:$F$14))-STANDARDIZE($E11,AVERAGE($E$3:$E$14),_xlfn.STDEV.S($E$3:$E$14)))),0.02))</formula>
    </cfRule>
  </conditionalFormatting>
  <conditionalFormatting sqref="J12">
    <cfRule type="expression" priority="28" dxfId="0">
      <formula>AND(ISNUMBER(G12),ABS(G12-(STANDARDIZE($E12,AVERAGE($E$3:$E$14),_xlfn.STDEV.S($E$3:$E$14))))&lt;=MAX(0.02*ABS(STANDARDIZE($E12,AVERAGE($E$3:$E$14),_xlfn.STDEV.S($E$3:$E$14))),0.02))</formula>
    </cfRule>
  </conditionalFormatting>
  <conditionalFormatting sqref="K12">
    <cfRule type="expression" priority="29" dxfId="0">
      <formula>AND(ISNUMBER(H12),ABS(H12-(STANDARDIZE($F12,AVERAGE($F$3:$F$14),_xlfn.STDEV.S($F$3:$F$14))))&lt;=MAX(0.02*ABS(STANDARDIZE($F12,AVERAGE($F$3:$F$14),_xlfn.STDEV.S($F$3:$F$14))),0.02))</formula>
    </cfRule>
  </conditionalFormatting>
  <conditionalFormatting sqref="L12">
    <cfRule type="expression" priority="30" dxfId="0">
      <formula>AND(ISNUMBER(I12),ABS(I12-((STANDARDIZE($F12,AVERAGE($F$3:$F$14),_xlfn.STDEV.S($F$3:$F$14))-STANDARDIZE($E12,AVERAGE($E$3:$E$14),_xlfn.STDEV.S($E$3:$E$14)))))&lt;=MAX(0.02*ABS((STANDARDIZE($F12,AVERAGE($F$3:$F$14),_xlfn.STDEV.S($F$3:$F$14))-STANDARDIZE($E12,AVERAGE($E$3:$E$14),_xlfn.STDEV.S($E$3:$E$14)))),0.02))</formula>
    </cfRule>
  </conditionalFormatting>
  <conditionalFormatting sqref="J13">
    <cfRule type="expression" priority="31" dxfId="0">
      <formula>AND(ISNUMBER(G13),ABS(G13-(STANDARDIZE($E13,AVERAGE($E$3:$E$14),_xlfn.STDEV.S($E$3:$E$14))))&lt;=MAX(0.02*ABS(STANDARDIZE($E13,AVERAGE($E$3:$E$14),_xlfn.STDEV.S($E$3:$E$14))),0.02))</formula>
    </cfRule>
  </conditionalFormatting>
  <conditionalFormatting sqref="K13">
    <cfRule type="expression" priority="32" dxfId="0">
      <formula>AND(ISNUMBER(H13),ABS(H13-(STANDARDIZE($F13,AVERAGE($F$3:$F$14),_xlfn.STDEV.S($F$3:$F$14))))&lt;=MAX(0.02*ABS(STANDARDIZE($F13,AVERAGE($F$3:$F$14),_xlfn.STDEV.S($F$3:$F$14))),0.02))</formula>
    </cfRule>
  </conditionalFormatting>
  <conditionalFormatting sqref="L13">
    <cfRule type="expression" priority="33" dxfId="0">
      <formula>AND(ISNUMBER(I13),ABS(I13-((STANDARDIZE($F13,AVERAGE($F$3:$F$14),_xlfn.STDEV.S($F$3:$F$14))-STANDARDIZE($E13,AVERAGE($E$3:$E$14),_xlfn.STDEV.S($E$3:$E$14)))))&lt;=MAX(0.02*ABS((STANDARDIZE($F13,AVERAGE($F$3:$F$14),_xlfn.STDEV.S($F$3:$F$14))-STANDARDIZE($E13,AVERAGE($E$3:$E$14),_xlfn.STDEV.S($E$3:$E$14)))),0.02))</formula>
    </cfRule>
  </conditionalFormatting>
  <conditionalFormatting sqref="J14">
    <cfRule type="expression" priority="34" dxfId="0">
      <formula>AND(ISNUMBER(G14),ABS(G14-(STANDARDIZE($E14,AVERAGE($E$3:$E$14),_xlfn.STDEV.S($E$3:$E$14))))&lt;=MAX(0.02*ABS(STANDARDIZE($E14,AVERAGE($E$3:$E$14),_xlfn.STDEV.S($E$3:$E$14))),0.02))</formula>
    </cfRule>
  </conditionalFormatting>
  <conditionalFormatting sqref="K14">
    <cfRule type="expression" priority="35" dxfId="0">
      <formula>AND(ISNUMBER(H14),ABS(H14-(STANDARDIZE($F14,AVERAGE($F$3:$F$14),_xlfn.STDEV.S($F$3:$F$14))))&lt;=MAX(0.02*ABS(STANDARDIZE($F14,AVERAGE($F$3:$F$14),_xlfn.STDEV.S($F$3:$F$14))),0.02))</formula>
    </cfRule>
  </conditionalFormatting>
  <conditionalFormatting sqref="L14">
    <cfRule type="expression" priority="36" dxfId="0">
      <formula>AND(ISNUMBER(I14),ABS(I14-((STANDARDIZE($F14,AVERAGE($F$3:$F$14),_xlfn.STDEV.S($F$3:$F$14))-STANDARDIZE($E14,AVERAGE($E$3:$E$14),_xlfn.STDEV.S($E$3:$E$14)))))&lt;=MAX(0.02*ABS((STANDARDIZE($F14,AVERAGE($F$3:$F$14),_xlfn.STDEV.S($F$3:$F$14))-STANDARDIZE($E14,AVERAGE($E$3:$E$14),_xlfn.STDEV.S($E$3:$E$14)))),0.02))</formula>
    </cfRule>
  </conditionalFormatting>
  <conditionalFormatting sqref="F17">
    <cfRule type="expression" priority="37" dxfId="0">
      <formula>AND(ISNUMBER(E17),ABS(E17-(CORREL(E3:E14,F3:F14)))&lt;=MAX(0.02*ABS(CORREL(E3:E14,F3:F14)),0.01))</formula>
    </cfRule>
  </conditionalFormatting>
  <conditionalFormatting sqref="F18">
    <cfRule type="expression" priority="38" dxfId="0">
      <formula>AND(ISNUMBER(E18),ABS(E18-(MAX(ABS(MIN(I3:I14)),MAX(I3:I14))))&lt;=MAX(0.02*ABS(MAX(ABS(MIN(I3:I14)),MAX(I3:I14))),0.02))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2026-09-17T13:07:11Z</dcterms:created>
  <dcterms:modified xmlns:dcterms="http://purl.org/dc/terms/" xmlns:xsi="http://www.w3.org/2001/XMLSchema-instance" xsi:type="dcterms:W3CDTF">2026-09-17T13:07:11Z</dcterms:modified>
</cp:coreProperties>
</file>