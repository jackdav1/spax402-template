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r factors" sheetId="1" state="visible" r:id="rId1"/>
    <sheet xmlns:r="http://schemas.openxmlformats.org/officeDocument/2006/relationships" name="weighted efficiency" sheetId="2" state="visible" r:id="rId2"/>
    <sheet xmlns:r="http://schemas.openxmlformats.org/officeDocument/2006/relationships" name="epa and wpa"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3">
    <font>
      <name val="Calibri"/>
      <family val="2"/>
      <color theme="1"/>
      <sz val="11"/>
      <scheme val="minor"/>
    </font>
    <font>
      <i val="1"/>
    </font>
    <font>
      <b val="1"/>
    </font>
  </fonts>
  <fills count="4">
    <fill>
      <patternFill/>
    </fill>
    <fill>
      <patternFill patternType="gray125"/>
    </fill>
    <fill>
      <patternFill patternType="solid">
        <fgColor rgb="00FFFF00"/>
      </patternFill>
    </fill>
    <fill>
      <patternFill patternType="solid">
        <fgColor rgb="00E7E6E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center" wrapText="1"/>
    </xf>
    <xf numFmtId="164" fontId="0" fillId="2" borderId="0" pivotButton="0" quotePrefix="0" xfId="0"/>
    <xf numFmtId="0" fontId="0" fillId="3" borderId="0" pivotButton="0" quotePrefix="0" xfId="0"/>
    <xf numFmtId="2" fontId="0" fillId="2" borderId="0" pivotButton="0" quotePrefix="0" xfId="0"/>
    <xf numFmtId="165" fontId="0" fillId="2" borderId="0" pivotButton="0" quotePrefix="0" xfId="0"/>
    <xf numFmtId="166" fontId="0" fillId="2" borderId="0" pivotButton="0" quotePrefix="0" xfId="0"/>
    <xf numFmtId="0" fontId="0" fillId="0" borderId="0" applyAlignment="1" pivotButton="0" quotePrefix="0" xfId="0">
      <alignment vertical="center" wrapText="1"/>
    </xf>
    <xf numFmtId="166" fontId="0" fillId="0" borderId="0" pivotButton="0" quotePrefix="0" xfId="0"/>
    <xf numFmtId="164" fontId="0" fillId="0" borderId="0" pivotButton="0" quotePrefix="0" xfId="0"/>
  </cellXfs>
  <cellStyles count="1">
    <cellStyle name="Normal" xfId="0" builtinId="0" hidden="0"/>
  </cellStyles>
  <dxfs count="1">
    <dxf>
      <font>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2" customWidth="1" min="1" max="1"/>
    <col width="10" customWidth="1" min="2" max="2"/>
    <col width="10" customWidth="1" min="3" max="3"/>
    <col width="66" customWidth="1" min="4" max="4"/>
    <col width="14" customWidth="1" min="5" max="5"/>
    <col width="8" customWidth="1" min="6" max="6"/>
  </cols>
  <sheetData>
    <row r="1">
      <c r="A1" s="1" t="inlineStr">
        <is>
          <t>WNBA Finals, Game 3, October 16, 2024. Minnesota Lynx 77, New York Liberty 80, overtime.</t>
        </is>
      </c>
    </row>
    <row r="2">
      <c r="A2" s="2" t="inlineStr"/>
      <c r="B2" s="2" t="inlineStr">
        <is>
          <t>MIN</t>
        </is>
      </c>
      <c r="C2" s="2" t="inlineStr">
        <is>
          <t>NYL</t>
        </is>
      </c>
      <c r="D2" s="2" t="inlineStr">
        <is>
          <t>Minnesota Lynx</t>
        </is>
      </c>
      <c r="E2" s="2" t="inlineStr">
        <is>
          <t>Your answer</t>
        </is>
      </c>
      <c r="F2" s="2" t="inlineStr">
        <is>
          <t>Check</t>
        </is>
      </c>
    </row>
    <row r="3">
      <c r="A3" s="2" t="inlineStr">
        <is>
          <t>Points</t>
        </is>
      </c>
      <c r="B3" t="n">
        <v>77</v>
      </c>
      <c r="C3" t="n">
        <v>80</v>
      </c>
      <c r="D3" s="3" t="inlineStr">
        <is>
          <t>eFG%%: effective field goal percentage, (FG + 0.5 x 3P) / FGA</t>
        </is>
      </c>
      <c r="E3" s="4" t="n"/>
      <c r="F3" s="5" t="n"/>
    </row>
    <row r="4">
      <c r="A4" s="2" t="inlineStr">
        <is>
          <t>Field goals made</t>
        </is>
      </c>
      <c r="B4" t="n">
        <v>29</v>
      </c>
      <c r="C4" t="n">
        <v>28</v>
      </c>
      <c r="D4" s="3" t="inlineStr">
        <is>
          <t>FTAr: free throw attempt rate, FTA / FGA</t>
        </is>
      </c>
      <c r="E4" s="4" t="n"/>
      <c r="F4" s="5" t="n"/>
    </row>
    <row r="5">
      <c r="A5" s="2" t="inlineStr">
        <is>
          <t>Field goal attempts</t>
        </is>
      </c>
      <c r="B5" t="n">
        <v>75</v>
      </c>
      <c r="C5" t="n">
        <v>61</v>
      </c>
      <c r="D5" s="3" t="inlineStr">
        <is>
          <t>TO%%: turnovers per possession-ending event, TOV / (FGA + 0.44 x FTA + TOV)</t>
        </is>
      </c>
      <c r="E5" s="4" t="n"/>
      <c r="F5" s="5" t="n"/>
    </row>
    <row r="6">
      <c r="A6" s="2" t="inlineStr">
        <is>
          <t>Three-pointers made</t>
        </is>
      </c>
      <c r="B6" t="n">
        <v>9</v>
      </c>
      <c r="C6" t="n">
        <v>10</v>
      </c>
      <c r="D6" s="3" t="inlineStr">
        <is>
          <t>ORB%%: offensive rebounds / (own ORB + opponent DRB)</t>
        </is>
      </c>
      <c r="E6" s="4" t="n"/>
      <c r="F6" s="5" t="n"/>
    </row>
    <row r="7">
      <c r="A7" s="2" t="inlineStr">
        <is>
          <t>Free throws made</t>
        </is>
      </c>
      <c r="B7" t="n">
        <v>10</v>
      </c>
      <c r="C7" t="n">
        <v>14</v>
      </c>
      <c r="D7" s="3" t="inlineStr">
        <is>
          <t>Possessions, estimated: FGA - ORB + TOV + 0.44 x FTA</t>
        </is>
      </c>
      <c r="E7" s="6" t="n"/>
      <c r="F7" s="5" t="n"/>
    </row>
    <row r="8">
      <c r="A8" s="2" t="inlineStr">
        <is>
          <t>Free throw attempts</t>
        </is>
      </c>
      <c r="B8" t="n">
        <v>12</v>
      </c>
      <c r="C8" t="n">
        <v>14</v>
      </c>
      <c r="D8" s="3" t="inlineStr">
        <is>
          <t>Points per possession</t>
        </is>
      </c>
      <c r="E8" s="4" t="n"/>
      <c r="F8" s="5" t="n"/>
    </row>
    <row r="9">
      <c r="A9" s="2" t="inlineStr">
        <is>
          <t>Offensive rebounds</t>
        </is>
      </c>
      <c r="B9" t="n">
        <v>7</v>
      </c>
      <c r="C9" t="n">
        <v>6</v>
      </c>
    </row>
    <row r="10">
      <c r="A10" s="2" t="inlineStr">
        <is>
          <t>Defensive rebounds</t>
        </is>
      </c>
      <c r="B10" t="n">
        <v>25</v>
      </c>
      <c r="C10" t="n">
        <v>27</v>
      </c>
      <c r="D10" s="2" t="inlineStr">
        <is>
          <t>New York Liberty</t>
        </is>
      </c>
      <c r="E10" s="2" t="inlineStr">
        <is>
          <t>Your answer</t>
        </is>
      </c>
      <c r="F10" s="2" t="inlineStr">
        <is>
          <t>Check</t>
        </is>
      </c>
    </row>
    <row r="11">
      <c r="A11" s="2" t="inlineStr">
        <is>
          <t>Turnovers</t>
        </is>
      </c>
      <c r="B11" t="n">
        <v>10</v>
      </c>
      <c r="C11" t="n">
        <v>16</v>
      </c>
      <c r="D11" s="3" t="inlineStr">
        <is>
          <t>eFG%%: effective field goal percentage, (FG + 0.5 x 3P) / FGA</t>
        </is>
      </c>
      <c r="E11" s="4" t="n"/>
      <c r="F11" s="5" t="n"/>
    </row>
    <row r="12">
      <c r="A12" s="2" t="inlineStr">
        <is>
          <t>Free throw possession weight</t>
        </is>
      </c>
      <c r="B12" t="n">
        <v>0.44</v>
      </c>
      <c r="C12" t="n">
        <v>0.44</v>
      </c>
      <c r="D12" s="3" t="inlineStr">
        <is>
          <t>FTAr: free throw attempt rate, FTA / FGA</t>
        </is>
      </c>
      <c r="E12" s="4" t="n"/>
      <c r="F12" s="5" t="n"/>
    </row>
    <row r="13">
      <c r="D13" s="3" t="inlineStr">
        <is>
          <t>TO%%: turnovers per possession-ending event, TOV / (FGA + 0.44 x FTA + TOV)</t>
        </is>
      </c>
      <c r="E13" s="4" t="n"/>
      <c r="F13" s="5" t="n"/>
    </row>
    <row r="14">
      <c r="D14" s="3" t="inlineStr">
        <is>
          <t>ORB%%: offensive rebounds / (own ORB + opponent DRB)</t>
        </is>
      </c>
      <c r="E14" s="4" t="n"/>
      <c r="F14" s="5" t="n"/>
    </row>
    <row r="15">
      <c r="D15" s="3" t="inlineStr">
        <is>
          <t>Possessions, estimated: FGA - ORB + TOV + 0.44 x FTA</t>
        </is>
      </c>
      <c r="E15" s="6" t="n"/>
      <c r="F15" s="5" t="n"/>
    </row>
    <row r="16">
      <c r="D16" s="3" t="inlineStr">
        <is>
          <t>Points per possession</t>
        </is>
      </c>
      <c r="E16" s="4" t="n"/>
      <c r="F16" s="5" t="n"/>
    </row>
    <row r="18">
      <c r="A18" s="1" t="inlineStr">
        <is>
          <t>Every rate on this sheet is built from the counts in B and C, and the two teams share every formula. Fill in MIN, then copy the six formulas down to NYL and check that the references moved with them. The team that made more field goals and turned it over less lost this game; the Four Factors say how.</t>
        </is>
      </c>
    </row>
  </sheetData>
  <conditionalFormatting sqref="F3">
    <cfRule type="expression" priority="1" dxfId="0">
      <formula>AND(ISNUMBER(E3),ABS(E3-((($B$4+0.5*$B$6)/$B$5)))&lt;=MAX(0.02*ABS((($B$4+0.5*$B$6)/$B$5)),0.002))</formula>
    </cfRule>
  </conditionalFormatting>
  <conditionalFormatting sqref="F4">
    <cfRule type="expression" priority="2" dxfId="0">
      <formula>AND(ISNUMBER(E4),ABS(E4-(($B$8/$B$5)))&lt;=MAX(0.02*ABS(($B$8/$B$5)),0.002))</formula>
    </cfRule>
  </conditionalFormatting>
  <conditionalFormatting sqref="F5">
    <cfRule type="expression" priority="3" dxfId="0">
      <formula>AND(ISNUMBER(E5),ABS(E5-(($B$11/($B$5+$B$12*$B$8+$B$11))))&lt;=MAX(0.02*ABS(($B$11/($B$5+$B$12*$B$8+$B$11))),0.002))</formula>
    </cfRule>
  </conditionalFormatting>
  <conditionalFormatting sqref="F6">
    <cfRule type="expression" priority="4" dxfId="0">
      <formula>AND(ISNUMBER(E6),ABS(E6-(($B$9/($B$9+$C$10))))&lt;=MAX(0.02*ABS(($B$9/($B$9+$C$10))),0.002))</formula>
    </cfRule>
  </conditionalFormatting>
  <conditionalFormatting sqref="F7">
    <cfRule type="expression" priority="5" dxfId="0">
      <formula>AND(ISNUMBER(E7),ABS(E7-(($B$5-$B$9+$B$11+$B$12*$B$8)))&lt;=MAX(0.02*ABS(($B$5-$B$9+$B$11+$B$12*$B$8)),0.05))</formula>
    </cfRule>
  </conditionalFormatting>
  <conditionalFormatting sqref="F8">
    <cfRule type="expression" priority="6" dxfId="0">
      <formula>AND(ISNUMBER(E8),ABS(E8-(($B$3/($B$5-$B$9+$B$11+$B$12*$B$8))))&lt;=MAX(0.02*ABS(($B$3/($B$5-$B$9+$B$11+$B$12*$B$8))),0.003))</formula>
    </cfRule>
  </conditionalFormatting>
  <conditionalFormatting sqref="F11">
    <cfRule type="expression" priority="7" dxfId="0">
      <formula>AND(ISNUMBER(E11),ABS(E11-((($C$4+0.5*$C$6)/$C$5)))&lt;=MAX(0.02*ABS((($C$4+0.5*$C$6)/$C$5)),0.002))</formula>
    </cfRule>
  </conditionalFormatting>
  <conditionalFormatting sqref="F12">
    <cfRule type="expression" priority="8" dxfId="0">
      <formula>AND(ISNUMBER(E12),ABS(E12-(($C$8/$C$5)))&lt;=MAX(0.02*ABS(($C$8/$C$5)),0.002))</formula>
    </cfRule>
  </conditionalFormatting>
  <conditionalFormatting sqref="F13">
    <cfRule type="expression" priority="9" dxfId="0">
      <formula>AND(ISNUMBER(E13),ABS(E13-(($C$11/($C$5+$C$12*$C$8+$C$11))))&lt;=MAX(0.02*ABS(($C$11/($C$5+$C$12*$C$8+$C$11))),0.002))</formula>
    </cfRule>
  </conditionalFormatting>
  <conditionalFormatting sqref="F14">
    <cfRule type="expression" priority="10" dxfId="0">
      <formula>AND(ISNUMBER(E14),ABS(E14-(($C$9/($C$9+$B$10))))&lt;=MAX(0.02*ABS(($C$9/($C$9+$B$10))),0.002))</formula>
    </cfRule>
  </conditionalFormatting>
  <conditionalFormatting sqref="F15">
    <cfRule type="expression" priority="11" dxfId="0">
      <formula>AND(ISNUMBER(E15),ABS(E15-(($C$5-$C$9+$C$11+$C$12*$C$8)))&lt;=MAX(0.02*ABS(($C$5-$C$9+$C$11+$C$12*$C$8)),0.05))</formula>
    </cfRule>
  </conditionalFormatting>
  <conditionalFormatting sqref="F16">
    <cfRule type="expression" priority="12" dxfId="0">
      <formula>AND(ISNUMBER(E16),ABS(E16-(($C$3/($C$5-$C$9+$C$11+$C$12*$C$8))))&lt;=MAX(0.02*ABS(($C$3/($C$5-$C$9+$C$11+$C$12*$C$8))),0.003))</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8" customWidth="1" min="1" max="1"/>
    <col width="10" customWidth="1" min="2" max="2"/>
    <col width="10" customWidth="1" min="3" max="3"/>
    <col width="58" customWidth="1" min="4" max="4"/>
    <col width="14" customWidth="1" min="5" max="5"/>
    <col width="8" customWidth="1" min="6" max="6"/>
  </cols>
  <sheetData>
    <row r="1">
      <c r="A1" s="1" t="inlineStr">
        <is>
          <t>2024 season, MLB Stats API.</t>
        </is>
      </c>
    </row>
    <row r="2">
      <c r="A2" s="2" t="inlineStr"/>
      <c r="B2" s="2" t="inlineStr">
        <is>
          <t>Arraez</t>
        </is>
      </c>
      <c r="C2" s="2" t="inlineStr">
        <is>
          <t>Judge</t>
        </is>
      </c>
      <c r="D2" s="2" t="inlineStr">
        <is>
          <t>Luis Arraez</t>
        </is>
      </c>
      <c r="E2" s="2" t="inlineStr">
        <is>
          <t>Your answer</t>
        </is>
      </c>
      <c r="F2" s="2" t="inlineStr">
        <is>
          <t>Check</t>
        </is>
      </c>
    </row>
    <row r="3">
      <c r="A3" s="2" t="inlineStr">
        <is>
          <t>At bats</t>
        </is>
      </c>
      <c r="B3" t="n">
        <v>637</v>
      </c>
      <c r="C3" t="n">
        <v>559</v>
      </c>
      <c r="D3" s="3" t="inlineStr">
        <is>
          <t>Singles: hits that were not doubles, triples or home runs</t>
        </is>
      </c>
      <c r="E3" s="7" t="n"/>
      <c r="F3" s="5" t="n"/>
    </row>
    <row r="4">
      <c r="A4" s="2" t="inlineStr">
        <is>
          <t>Hits</t>
        </is>
      </c>
      <c r="B4" t="n">
        <v>200</v>
      </c>
      <c r="C4" t="n">
        <v>180</v>
      </c>
      <c r="D4" s="3" t="inlineStr">
        <is>
          <t>Batting average, H / AB</t>
        </is>
      </c>
      <c r="E4" s="8" t="n"/>
      <c r="F4" s="5" t="n"/>
    </row>
    <row r="5">
      <c r="A5" s="2" t="inlineStr">
        <is>
          <t>Doubles</t>
        </is>
      </c>
      <c r="B5" t="n">
        <v>32</v>
      </c>
      <c r="C5" t="n">
        <v>36</v>
      </c>
      <c r="D5" s="3" t="inlineStr">
        <is>
          <t>Slugging, (1B + 2 x 2B + 3 x 3B + 4 x HR) / AB</t>
        </is>
      </c>
      <c r="E5" s="8" t="n"/>
      <c r="F5" s="5" t="n"/>
    </row>
    <row r="6">
      <c r="A6" s="2" t="inlineStr">
        <is>
          <t>Triples</t>
        </is>
      </c>
      <c r="B6" t="n">
        <v>3</v>
      </c>
      <c r="C6" t="n">
        <v>1</v>
      </c>
      <c r="D6" s="3" t="inlineStr">
        <is>
          <t>Unintentional walks, BB - IBB</t>
        </is>
      </c>
      <c r="E6" s="7" t="n"/>
      <c r="F6" s="5" t="n"/>
    </row>
    <row r="7">
      <c r="A7" s="2" t="inlineStr">
        <is>
          <t>Home runs</t>
        </is>
      </c>
      <c r="B7" t="n">
        <v>4</v>
      </c>
      <c r="C7" t="n">
        <v>58</v>
      </c>
      <c r="D7" s="3" t="inlineStr">
        <is>
          <t>wOBA numerator: each outcome times its weight</t>
        </is>
      </c>
      <c r="E7" s="7" t="n"/>
      <c r="F7" s="5" t="n"/>
    </row>
    <row r="8">
      <c r="A8" s="2" t="inlineStr">
        <is>
          <t>Walks</t>
        </is>
      </c>
      <c r="B8" t="n">
        <v>24</v>
      </c>
      <c r="C8" t="n">
        <v>133</v>
      </c>
      <c r="D8" s="3" t="inlineStr">
        <is>
          <t>wOBA denominator: AB + uBB + SF + HBP</t>
        </is>
      </c>
      <c r="E8" s="7" t="n"/>
      <c r="F8" s="5" t="n"/>
    </row>
    <row r="9">
      <c r="A9" s="2" t="inlineStr">
        <is>
          <t>Intentional walks</t>
        </is>
      </c>
      <c r="B9" t="n">
        <v>3</v>
      </c>
      <c r="C9" t="n">
        <v>20</v>
      </c>
      <c r="D9" s="3" t="inlineStr">
        <is>
          <t>wOBA</t>
        </is>
      </c>
      <c r="E9" s="8" t="n"/>
      <c r="F9" s="5" t="n"/>
    </row>
    <row r="10">
      <c r="A10" s="2" t="inlineStr">
        <is>
          <t>Hit by pitch</t>
        </is>
      </c>
      <c r="B10" t="n">
        <v>8</v>
      </c>
      <c r="C10" t="n">
        <v>9</v>
      </c>
    </row>
    <row r="11">
      <c r="A11" s="2" t="inlineStr">
        <is>
          <t>Sacrifice flies</t>
        </is>
      </c>
      <c r="B11" t="n">
        <v>1</v>
      </c>
      <c r="C11" t="n">
        <v>2</v>
      </c>
      <c r="D11" s="2" t="inlineStr">
        <is>
          <t>Aaron Judge</t>
        </is>
      </c>
      <c r="E11" s="2" t="inlineStr">
        <is>
          <t>Your answer</t>
        </is>
      </c>
      <c r="F11" s="2" t="inlineStr">
        <is>
          <t>Check</t>
        </is>
      </c>
    </row>
    <row r="12">
      <c r="D12" s="3" t="inlineStr">
        <is>
          <t>Singles: hits that were not doubles, triples or home runs</t>
        </is>
      </c>
      <c r="E12" s="7" t="n"/>
      <c r="F12" s="5" t="n"/>
    </row>
    <row r="13">
      <c r="A13" s="2" t="inlineStr">
        <is>
          <t>wOBA weights</t>
        </is>
      </c>
      <c r="D13" s="3" t="inlineStr">
        <is>
          <t>Batting average, H / AB</t>
        </is>
      </c>
      <c r="E13" s="8" t="n"/>
      <c r="F13" s="5" t="n"/>
    </row>
    <row r="14">
      <c r="A14" s="2" t="inlineStr">
        <is>
          <t>Unintentional walk</t>
        </is>
      </c>
      <c r="B14" t="n">
        <v>0.6899999999999999</v>
      </c>
      <c r="D14" s="3" t="inlineStr">
        <is>
          <t>Slugging, (1B + 2 x 2B + 3 x 3B + 4 x HR) / AB</t>
        </is>
      </c>
      <c r="E14" s="8" t="n"/>
      <c r="F14" s="5" t="n"/>
    </row>
    <row r="15">
      <c r="A15" s="2" t="inlineStr">
        <is>
          <t>Hit by pitch</t>
        </is>
      </c>
      <c r="B15" t="n">
        <v>0.72</v>
      </c>
      <c r="D15" s="3" t="inlineStr">
        <is>
          <t>Unintentional walks, BB - IBB</t>
        </is>
      </c>
      <c r="E15" s="7" t="n"/>
      <c r="F15" s="5" t="n"/>
    </row>
    <row r="16">
      <c r="A16" s="2" t="inlineStr">
        <is>
          <t>Single</t>
        </is>
      </c>
      <c r="B16" t="n">
        <v>0.88</v>
      </c>
      <c r="D16" s="3" t="inlineStr">
        <is>
          <t>wOBA numerator: each outcome times its weight</t>
        </is>
      </c>
      <c r="E16" s="7" t="n"/>
      <c r="F16" s="5" t="n"/>
    </row>
    <row r="17">
      <c r="A17" s="2" t="inlineStr">
        <is>
          <t>Double</t>
        </is>
      </c>
      <c r="B17" t="n">
        <v>1.25</v>
      </c>
      <c r="D17" s="3" t="inlineStr">
        <is>
          <t>wOBA denominator: AB + uBB + SF + HBP</t>
        </is>
      </c>
      <c r="E17" s="7" t="n"/>
      <c r="F17" s="5" t="n"/>
    </row>
    <row r="18">
      <c r="A18" s="2" t="inlineStr">
        <is>
          <t>Triple</t>
        </is>
      </c>
      <c r="B18" t="n">
        <v>1.58</v>
      </c>
      <c r="D18" s="3" t="inlineStr">
        <is>
          <t>wOBA</t>
        </is>
      </c>
      <c r="E18" s="8" t="n"/>
      <c r="F18" s="5" t="n"/>
    </row>
    <row r="19">
      <c r="A19" s="2" t="inlineStr">
        <is>
          <t>Home run</t>
        </is>
      </c>
      <c r="B19" t="n">
        <v>2.01</v>
      </c>
    </row>
    <row r="20">
      <c r="A20" s="1" t="inlineStr">
        <is>
          <t>Batting average counts every hit once. Slugging weights a hit by the bases it earned. wOBA weights every way of reaching base by the runs it produced, on average, across the league. Fill in Arraez, copy the block down for Judge, and read the three rates side by side.</t>
        </is>
      </c>
    </row>
  </sheetData>
  <conditionalFormatting sqref="F3">
    <cfRule type="expression" priority="1" dxfId="0">
      <formula>AND(ISNUMBER(E3),ABS(E3-(($B$4-$B$5-$B$6-$B$7)))&lt;=MAX(0.02*ABS(($B$4-$B$5-$B$6-$B$7)),0.5))</formula>
    </cfRule>
  </conditionalFormatting>
  <conditionalFormatting sqref="F4">
    <cfRule type="expression" priority="2" dxfId="0">
      <formula>AND(ISNUMBER(E4),ABS(E4-(($B$4/$B$3)))&lt;=MAX(0.02*ABS(($B$4/$B$3)),0.002))</formula>
    </cfRule>
  </conditionalFormatting>
  <conditionalFormatting sqref="F5">
    <cfRule type="expression" priority="3" dxfId="0">
      <formula>AND(ISNUMBER(E5),ABS(E5-(((($B$4-$B$5-$B$6-$B$7)+2*$B$5+3*$B$6+4*$B$7)/$B$3)))&lt;=MAX(0.02*ABS(((($B$4-$B$5-$B$6-$B$7)+2*$B$5+3*$B$6+4*$B$7)/$B$3)),0.003))</formula>
    </cfRule>
  </conditionalFormatting>
  <conditionalFormatting sqref="F6">
    <cfRule type="expression" priority="4" dxfId="0">
      <formula>AND(ISNUMBER(E6),ABS(E6-(($B$8-$B$9)))&lt;=MAX(0.02*ABS(($B$8-$B$9)),0.5))</formula>
    </cfRule>
  </conditionalFormatting>
  <conditionalFormatting sqref="F7">
    <cfRule type="expression" priority="5" dxfId="0">
      <formula>AND(ISNUMBER(E7),ABS(E7-(($B$14*($B$8-$B$9)+$B$15*$B$10+$B$16*($B$4-$B$5-$B$6-$B$7)+$B$17*$B$5+$B$18*$B$6+$B$19*$B$7)))&lt;=MAX(0.02*ABS(($B$14*($B$8-$B$9)+$B$15*$B$10+$B$16*($B$4-$B$5-$B$6-$B$7)+$B$17*$B$5+$B$18*$B$6+$B$19*$B$7)),0.5))</formula>
    </cfRule>
  </conditionalFormatting>
  <conditionalFormatting sqref="F8">
    <cfRule type="expression" priority="6" dxfId="0">
      <formula>AND(ISNUMBER(E8),ABS(E8-(($B$3+($B$8-$B$9)+$B$11+$B$10)))&lt;=MAX(0.02*ABS(($B$3+($B$8-$B$9)+$B$11+$B$10)),0.5))</formula>
    </cfRule>
  </conditionalFormatting>
  <conditionalFormatting sqref="F9">
    <cfRule type="expression" priority="7" dxfId="0">
      <formula>AND(ISNUMBER(E9),ABS(E9-((($B$14*($B$8-$B$9)+$B$15*$B$10+$B$16*($B$4-$B$5-$B$6-$B$7)+$B$17*$B$5+$B$18*$B$6+$B$19*$B$7)/($B$3+($B$8-$B$9)+$B$11+$B$10))))&lt;=MAX(0.02*ABS((($B$14*($B$8-$B$9)+$B$15*$B$10+$B$16*($B$4-$B$5-$B$6-$B$7)+$B$17*$B$5+$B$18*$B$6+$B$19*$B$7)/($B$3+($B$8-$B$9)+$B$11+$B$10))),0.003))</formula>
    </cfRule>
  </conditionalFormatting>
  <conditionalFormatting sqref="F12">
    <cfRule type="expression" priority="8" dxfId="0">
      <formula>AND(ISNUMBER(E12),ABS(E12-(($C$4-$C$5-$C$6-$C$7)))&lt;=MAX(0.02*ABS(($C$4-$C$5-$C$6-$C$7)),0.5))</formula>
    </cfRule>
  </conditionalFormatting>
  <conditionalFormatting sqref="F13">
    <cfRule type="expression" priority="9" dxfId="0">
      <formula>AND(ISNUMBER(E13),ABS(E13-(($C$4/$C$3)))&lt;=MAX(0.02*ABS(($C$4/$C$3)),0.002))</formula>
    </cfRule>
  </conditionalFormatting>
  <conditionalFormatting sqref="F14">
    <cfRule type="expression" priority="10" dxfId="0">
      <formula>AND(ISNUMBER(E14),ABS(E14-(((($C$4-$C$5-$C$6-$C$7)+2*$C$5+3*$C$6+4*$C$7)/$C$3)))&lt;=MAX(0.02*ABS(((($C$4-$C$5-$C$6-$C$7)+2*$C$5+3*$C$6+4*$C$7)/$C$3)),0.003))</formula>
    </cfRule>
  </conditionalFormatting>
  <conditionalFormatting sqref="F15">
    <cfRule type="expression" priority="11" dxfId="0">
      <formula>AND(ISNUMBER(E15),ABS(E15-(($C$8-$C$9)))&lt;=MAX(0.02*ABS(($C$8-$C$9)),0.5))</formula>
    </cfRule>
  </conditionalFormatting>
  <conditionalFormatting sqref="F16">
    <cfRule type="expression" priority="12" dxfId="0">
      <formula>AND(ISNUMBER(E16),ABS(E16-(($B$14*($C$8-$C$9)+$B$15*$C$10+$B$16*($C$4-$C$5-$C$6-$C$7)+$B$17*$C$5+$B$18*$C$6+$B$19*$C$7)))&lt;=MAX(0.02*ABS(($B$14*($C$8-$C$9)+$B$15*$C$10+$B$16*($C$4-$C$5-$C$6-$C$7)+$B$17*$C$5+$B$18*$C$6+$B$19*$C$7)),0.5))</formula>
    </cfRule>
  </conditionalFormatting>
  <conditionalFormatting sqref="F17">
    <cfRule type="expression" priority="13" dxfId="0">
      <formula>AND(ISNUMBER(E17),ABS(E17-(($C$3+($C$8-$C$9)+$C$11+$C$10)))&lt;=MAX(0.02*ABS(($C$3+($C$8-$C$9)+$C$11+$C$10)),0.5))</formula>
    </cfRule>
  </conditionalFormatting>
  <conditionalFormatting sqref="F18">
    <cfRule type="expression" priority="14" dxfId="0">
      <formula>AND(ISNUMBER(E18),ABS(E18-((($B$14*($C$8-$C$9)+$B$15*$C$10+$B$16*($C$4-$C$5-$C$6-$C$7)+$B$17*$C$5+$B$18*$C$6+$B$19*$C$7)/($C$3+($C$8-$C$9)+$C$11+$C$10))))&lt;=MAX(0.02*ABS((($B$14*($C$8-$C$9)+$B$15*$C$10+$B$16*($C$4-$C$5-$C$6-$C$7)+$B$17*$C$5+$B$18*$C$6+$B$19*$C$7)/($C$3+($C$8-$C$9)+$C$11+$C$10))),0.003))</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9" customWidth="1" min="1" max="1"/>
    <col width="9" customWidth="1" min="2" max="2"/>
    <col width="64" customWidth="1" min="3" max="3"/>
    <col width="9" customWidth="1" min="4" max="4"/>
    <col width="9" customWidth="1" min="5" max="5"/>
    <col width="9" customWidth="1" min="6" max="6"/>
    <col width="9" customWidth="1" min="7" max="7"/>
    <col width="14" customWidth="1" min="8" max="8"/>
    <col width="7" customWidth="1" min="9" max="9"/>
    <col width="7" customWidth="1" min="10" max="10"/>
    <col width="7" customWidth="1" min="11" max="11"/>
  </cols>
  <sheetData>
    <row r="1">
      <c r="A1" s="1" t="inlineStr">
        <is>
          <t>Super Bowl LI, ATL 28, NE 34. 12 of the game's 169 plays. nflverse.</t>
        </is>
      </c>
    </row>
    <row r="2">
      <c r="A2" s="2" t="inlineStr">
        <is>
          <t>Clock</t>
        </is>
      </c>
      <c r="B2" s="2" t="inlineStr">
        <is>
          <t>Offense</t>
        </is>
      </c>
      <c r="C2" s="2" t="inlineStr">
        <is>
          <t>Play</t>
        </is>
      </c>
      <c r="D2" s="2" t="inlineStr">
        <is>
          <t>EPA</t>
        </is>
      </c>
      <c r="E2" s="2" t="inlineStr">
        <is>
          <t>WPA</t>
        </is>
      </c>
      <c r="F2" s="2" t="inlineStr">
        <is>
          <t>z EPA</t>
        </is>
      </c>
      <c r="G2" s="2" t="inlineStr">
        <is>
          <t>z WPA</t>
        </is>
      </c>
      <c r="H2" s="2" t="inlineStr">
        <is>
          <t>z WPA - z EPA</t>
        </is>
      </c>
      <c r="I2" s="2" t="inlineStr">
        <is>
          <t>Check</t>
        </is>
      </c>
      <c r="J2" s="2" t="inlineStr">
        <is>
          <t>Check</t>
        </is>
      </c>
      <c r="K2" s="2" t="inlineStr">
        <is>
          <t>Check</t>
        </is>
      </c>
    </row>
    <row r="3">
      <c r="A3" t="inlineStr">
        <is>
          <t>Q2 15:00</t>
        </is>
      </c>
      <c r="B3" t="inlineStr">
        <is>
          <t>NE</t>
        </is>
      </c>
      <c r="C3" s="9" t="inlineStr">
        <is>
          <t>12-T.Brady pass deep right to 11-J.Edelman to ATL 33 for 27 yards.</t>
        </is>
      </c>
      <c r="D3" s="10" t="n">
        <v>2.314</v>
      </c>
      <c r="E3" s="11" t="n">
        <v>0.1014</v>
      </c>
      <c r="F3" s="6" t="n"/>
      <c r="G3" s="6" t="n"/>
      <c r="H3" s="6" t="n"/>
      <c r="I3" s="5" t="n"/>
      <c r="J3" s="5" t="n"/>
      <c r="K3" s="5" t="n"/>
    </row>
    <row r="4">
      <c r="A4" t="inlineStr">
        <is>
          <t>Q2 14:19</t>
        </is>
      </c>
      <c r="B4" t="inlineStr">
        <is>
          <t>NE</t>
        </is>
      </c>
      <c r="C4" s="9" t="inlineStr">
        <is>
          <t>29-L.Blount left tackle to ATL 29 for 4 yards. FUMBLES, RECOVERED by ATL-23-R.Alford at ATL 29. 23-...</t>
        </is>
      </c>
      <c r="D4" s="10" t="n">
        <v>-4.922</v>
      </c>
      <c r="E4" s="11" t="n">
        <v>-0.1421</v>
      </c>
      <c r="F4" s="6" t="n"/>
      <c r="G4" s="6" t="n"/>
      <c r="H4" s="6" t="n"/>
      <c r="I4" s="5" t="n"/>
      <c r="J4" s="5" t="n"/>
      <c r="K4" s="5" t="n"/>
    </row>
    <row r="5">
      <c r="A5" t="inlineStr">
        <is>
          <t>Q2 02:36</t>
        </is>
      </c>
      <c r="B5" t="inlineStr">
        <is>
          <t>NE</t>
        </is>
      </c>
      <c r="C5" s="9" t="inlineStr">
        <is>
          <t>12-T.Brady pass short left intended for 80-D.Amendola INTERCEPTED by 23-R.Alford at ATL 18. 23-R.Al...</t>
        </is>
      </c>
      <c r="D5" s="10" t="n">
        <v>-10.186</v>
      </c>
      <c r="E5" s="11" t="n">
        <v>-0.0975</v>
      </c>
      <c r="F5" s="6" t="n"/>
      <c r="G5" s="6" t="n"/>
      <c r="H5" s="6" t="n"/>
      <c r="I5" s="5" t="n"/>
      <c r="J5" s="5" t="n"/>
      <c r="K5" s="5" t="n"/>
    </row>
    <row r="6">
      <c r="A6" t="inlineStr">
        <is>
          <t>Q3 11:36</t>
        </is>
      </c>
      <c r="B6" t="inlineStr">
        <is>
          <t>ATL</t>
        </is>
      </c>
      <c r="C6" s="9" t="inlineStr">
        <is>
          <t>2-M.Ryan pass deep middle to 18-T.Gabriel to NE 28 for 35 yards.</t>
        </is>
      </c>
      <c r="D6" s="10" t="n">
        <v>2.807</v>
      </c>
      <c r="E6" s="11" t="n">
        <v>0.0061</v>
      </c>
      <c r="F6" s="6" t="n"/>
      <c r="G6" s="6" t="n"/>
      <c r="H6" s="6" t="n"/>
      <c r="I6" s="5" t="n"/>
      <c r="J6" s="5" t="n"/>
      <c r="K6" s="5" t="n"/>
    </row>
    <row r="7">
      <c r="A7" t="inlineStr">
        <is>
          <t>Q3 06:04</t>
        </is>
      </c>
      <c r="B7" t="inlineStr">
        <is>
          <t>NE</t>
        </is>
      </c>
      <c r="C7" s="9" t="inlineStr">
        <is>
          <t>12-T.Brady pass short left to 80-D.Amendola pushed ob at ATL 37 for 17 yards.</t>
        </is>
      </c>
      <c r="D7" s="10" t="n">
        <v>4.059</v>
      </c>
      <c r="E7" s="11" t="n">
        <v>0.0029</v>
      </c>
      <c r="F7" s="6" t="n"/>
      <c r="G7" s="6" t="n"/>
      <c r="H7" s="6" t="n"/>
      <c r="I7" s="5" t="n"/>
      <c r="J7" s="5" t="n"/>
      <c r="K7" s="5" t="n"/>
    </row>
    <row r="8">
      <c r="A8" t="inlineStr">
        <is>
          <t>Q4 08:31</t>
        </is>
      </c>
      <c r="B8" t="inlineStr">
        <is>
          <t>ATL</t>
        </is>
      </c>
      <c r="C8" s="9" t="inlineStr">
        <is>
          <t>2-M.Ryan sacked at ATL 25 for -11 yards. FUMBLES, RECOVERED by NE-97-A.Branch at ATL 25. 97-A.Branc...</t>
        </is>
      </c>
      <c r="D8" s="10" t="n">
        <v>-5.7</v>
      </c>
      <c r="E8" s="11" t="n">
        <v>-0.0386</v>
      </c>
      <c r="F8" s="6" t="n"/>
      <c r="G8" s="6" t="n"/>
      <c r="H8" s="6" t="n"/>
      <c r="I8" s="5" t="n"/>
      <c r="J8" s="5" t="n"/>
      <c r="K8" s="5" t="n"/>
    </row>
    <row r="9">
      <c r="A9" t="inlineStr">
        <is>
          <t>Q4 01:00</t>
        </is>
      </c>
      <c r="B9" t="inlineStr">
        <is>
          <t>NE</t>
        </is>
      </c>
      <c r="C9" s="9" t="inlineStr">
        <is>
          <t>28-J.White right guard for 1 yard, TOUCHDOWN.</t>
        </is>
      </c>
      <c r="D9" s="10" t="n">
        <v>1.779</v>
      </c>
      <c r="E9" s="11" t="n">
        <v>-0.0244</v>
      </c>
      <c r="F9" s="6" t="n"/>
      <c r="G9" s="6" t="n"/>
      <c r="H9" s="6" t="n"/>
      <c r="I9" s="5" t="n"/>
      <c r="J9" s="5" t="n"/>
      <c r="K9" s="5" t="n"/>
    </row>
    <row r="10">
      <c r="A10" t="inlineStr">
        <is>
          <t>Q4 00:18</t>
        </is>
      </c>
      <c r="B10" t="inlineStr">
        <is>
          <t>ATL</t>
        </is>
      </c>
      <c r="C10" s="9" t="inlineStr">
        <is>
          <t>2-M.Ryan pass incomplete deep left to 81-A.Hooper.</t>
        </is>
      </c>
      <c r="D10" s="10" t="n">
        <v>-0.079</v>
      </c>
      <c r="E10" s="11" t="n">
        <v>-0.0941</v>
      </c>
      <c r="F10" s="6" t="n"/>
      <c r="G10" s="6" t="n"/>
      <c r="H10" s="6" t="n"/>
      <c r="I10" s="5" t="n"/>
      <c r="J10" s="5" t="n"/>
      <c r="K10" s="5" t="n"/>
    </row>
    <row r="11">
      <c r="A11" t="inlineStr">
        <is>
          <t>OT 14:26</t>
        </is>
      </c>
      <c r="B11" t="inlineStr">
        <is>
          <t>NE</t>
        </is>
      </c>
      <c r="C11" s="9" t="inlineStr">
        <is>
          <t>12-T.Brady pass short right to 80-D.Amendola ran ob at NE 45 for 14 yards.</t>
        </is>
      </c>
      <c r="D11" s="10" t="n">
        <v>1.057</v>
      </c>
      <c r="E11" s="11" t="n">
        <v>0.1082</v>
      </c>
      <c r="F11" s="6" t="n"/>
      <c r="G11" s="6" t="n"/>
      <c r="H11" s="6" t="n"/>
      <c r="I11" s="5" t="n"/>
      <c r="J11" s="5" t="n"/>
      <c r="K11" s="5" t="n"/>
    </row>
    <row r="12">
      <c r="A12" t="inlineStr">
        <is>
          <t>OT 13:59</t>
        </is>
      </c>
      <c r="B12" t="inlineStr">
        <is>
          <t>NE</t>
        </is>
      </c>
      <c r="C12" s="9" t="inlineStr">
        <is>
          <t>12-T.Brady pass short left to 15-C.Hogan to ATL 37 for 18 yards.</t>
        </is>
      </c>
      <c r="D12" s="10" t="n">
        <v>1.241</v>
      </c>
      <c r="E12" s="11" t="n">
        <v>0.1388</v>
      </c>
      <c r="F12" s="6" t="n"/>
      <c r="G12" s="6" t="n"/>
      <c r="H12" s="6" t="n"/>
      <c r="I12" s="5" t="n"/>
      <c r="J12" s="5" t="n"/>
      <c r="K12" s="5" t="n"/>
    </row>
    <row r="13">
      <c r="A13" t="inlineStr">
        <is>
          <t>OT 13:12</t>
        </is>
      </c>
      <c r="B13" t="inlineStr">
        <is>
          <t>NE</t>
        </is>
      </c>
      <c r="C13" s="9" t="inlineStr">
        <is>
          <t>12-T.Brady pass short left to 28-J.White to ATL 40 for -3 yards.</t>
        </is>
      </c>
      <c r="D13" s="10" t="n">
        <v>-1.088</v>
      </c>
      <c r="E13" s="11" t="n">
        <v>-0.0956</v>
      </c>
      <c r="F13" s="6" t="n"/>
      <c r="G13" s="6" t="n"/>
      <c r="H13" s="6" t="n"/>
      <c r="I13" s="5" t="n"/>
      <c r="J13" s="5" t="n"/>
      <c r="K13" s="5" t="n"/>
    </row>
    <row r="14">
      <c r="A14" t="inlineStr">
        <is>
          <t>OT 12:37</t>
        </is>
      </c>
      <c r="B14" t="inlineStr">
        <is>
          <t>NE</t>
        </is>
      </c>
      <c r="C14" s="9" t="inlineStr">
        <is>
          <t>12-T.Brady pass short left to 11-J.Edelman to ATL 25 for 15 yards.</t>
        </is>
      </c>
      <c r="D14" s="10" t="n">
        <v>1.801</v>
      </c>
      <c r="E14" s="11" t="n">
        <v>0.1646</v>
      </c>
      <c r="F14" s="6" t="n"/>
      <c r="G14" s="6" t="n"/>
      <c r="H14" s="6" t="n"/>
      <c r="I14" s="5" t="n"/>
      <c r="J14" s="5" t="n"/>
      <c r="K14" s="5" t="n"/>
    </row>
    <row r="16">
      <c r="D16" s="2" t="inlineStr">
        <is>
          <t>Your answer</t>
        </is>
      </c>
      <c r="E16" s="2" t="inlineStr">
        <is>
          <t>Check</t>
        </is>
      </c>
    </row>
    <row r="17">
      <c r="C17" s="3" t="inlineStr">
        <is>
          <t>Correlation between EPA and WPA across these plays, CORREL</t>
        </is>
      </c>
      <c r="D17" s="6" t="n"/>
      <c r="E17" s="5" t="n"/>
    </row>
    <row r="18">
      <c r="C18" s="3" t="inlineStr">
        <is>
          <t>Largest disagreement, ignoring sign: MAX of the absolute values</t>
        </is>
      </c>
      <c r="D18" s="6" t="n"/>
      <c r="E18" s="5" t="n"/>
    </row>
    <row r="20">
      <c r="A20" s="1" t="inlineStr">
        <is>
          <t>STANDARDIZE(x, mean, standard deviation) puts EPA and WPA on the same scale so they can be compared. A positive number in the last column is a play that mattered more to the win than to the score; a negative one is the reverse. Find the two biggest, in either direction, and say what they have in common.</t>
        </is>
      </c>
    </row>
  </sheetData>
  <conditionalFormatting sqref="I3">
    <cfRule type="expression" priority="1" dxfId="0">
      <formula>AND(ISNUMBER(F3),ABS(F3-(STANDARDIZE($D3,AVERAGE($D$3:$D$14),_xlfn.STDEV.S($D$3:$D$14))))&lt;=MAX(0.02*ABS(STANDARDIZE($D3,AVERAGE($D$3:$D$14),_xlfn.STDEV.S($D$3:$D$14))),0.02))</formula>
    </cfRule>
  </conditionalFormatting>
  <conditionalFormatting sqref="J3">
    <cfRule type="expression" priority="2" dxfId="0">
      <formula>AND(ISNUMBER(G3),ABS(G3-(STANDARDIZE($E3,AVERAGE($E$3:$E$14),_xlfn.STDEV.S($E$3:$E$14))))&lt;=MAX(0.02*ABS(STANDARDIZE($E3,AVERAGE($E$3:$E$14),_xlfn.STDEV.S($E$3:$E$14))),0.02))</formula>
    </cfRule>
  </conditionalFormatting>
  <conditionalFormatting sqref="K3">
    <cfRule type="expression" priority="3" dxfId="0">
      <formula>AND(ISNUMBER(H3),ABS(H3-((STANDARDIZE($E3,AVERAGE($E$3:$E$14),_xlfn.STDEV.S($E$3:$E$14))-STANDARDIZE($D3,AVERAGE($D$3:$D$14),_xlfn.STDEV.S($D$3:$D$14)))))&lt;=MAX(0.02*ABS((STANDARDIZE($E3,AVERAGE($E$3:$E$14),_xlfn.STDEV.S($E$3:$E$14))-STANDARDIZE($D3,AVERAGE($D$3:$D$14),_xlfn.STDEV.S($D$3:$D$14)))),0.02))</formula>
    </cfRule>
  </conditionalFormatting>
  <conditionalFormatting sqref="I4">
    <cfRule type="expression" priority="4" dxfId="0">
      <formula>AND(ISNUMBER(F4),ABS(F4-(STANDARDIZE($D4,AVERAGE($D$3:$D$14),_xlfn.STDEV.S($D$3:$D$14))))&lt;=MAX(0.02*ABS(STANDARDIZE($D4,AVERAGE($D$3:$D$14),_xlfn.STDEV.S($D$3:$D$14))),0.02))</formula>
    </cfRule>
  </conditionalFormatting>
  <conditionalFormatting sqref="J4">
    <cfRule type="expression" priority="5" dxfId="0">
      <formula>AND(ISNUMBER(G4),ABS(G4-(STANDARDIZE($E4,AVERAGE($E$3:$E$14),_xlfn.STDEV.S($E$3:$E$14))))&lt;=MAX(0.02*ABS(STANDARDIZE($E4,AVERAGE($E$3:$E$14),_xlfn.STDEV.S($E$3:$E$14))),0.02))</formula>
    </cfRule>
  </conditionalFormatting>
  <conditionalFormatting sqref="K4">
    <cfRule type="expression" priority="6" dxfId="0">
      <formula>AND(ISNUMBER(H4),ABS(H4-((STANDARDIZE($E4,AVERAGE($E$3:$E$14),_xlfn.STDEV.S($E$3:$E$14))-STANDARDIZE($D4,AVERAGE($D$3:$D$14),_xlfn.STDEV.S($D$3:$D$14)))))&lt;=MAX(0.02*ABS((STANDARDIZE($E4,AVERAGE($E$3:$E$14),_xlfn.STDEV.S($E$3:$E$14))-STANDARDIZE($D4,AVERAGE($D$3:$D$14),_xlfn.STDEV.S($D$3:$D$14)))),0.02))</formula>
    </cfRule>
  </conditionalFormatting>
  <conditionalFormatting sqref="I5">
    <cfRule type="expression" priority="7" dxfId="0">
      <formula>AND(ISNUMBER(F5),ABS(F5-(STANDARDIZE($D5,AVERAGE($D$3:$D$14),_xlfn.STDEV.S($D$3:$D$14))))&lt;=MAX(0.02*ABS(STANDARDIZE($D5,AVERAGE($D$3:$D$14),_xlfn.STDEV.S($D$3:$D$14))),0.02))</formula>
    </cfRule>
  </conditionalFormatting>
  <conditionalFormatting sqref="J5">
    <cfRule type="expression" priority="8" dxfId="0">
      <formula>AND(ISNUMBER(G5),ABS(G5-(STANDARDIZE($E5,AVERAGE($E$3:$E$14),_xlfn.STDEV.S($E$3:$E$14))))&lt;=MAX(0.02*ABS(STANDARDIZE($E5,AVERAGE($E$3:$E$14),_xlfn.STDEV.S($E$3:$E$14))),0.02))</formula>
    </cfRule>
  </conditionalFormatting>
  <conditionalFormatting sqref="K5">
    <cfRule type="expression" priority="9" dxfId="0">
      <formula>AND(ISNUMBER(H5),ABS(H5-((STANDARDIZE($E5,AVERAGE($E$3:$E$14),_xlfn.STDEV.S($E$3:$E$14))-STANDARDIZE($D5,AVERAGE($D$3:$D$14),_xlfn.STDEV.S($D$3:$D$14)))))&lt;=MAX(0.02*ABS((STANDARDIZE($E5,AVERAGE($E$3:$E$14),_xlfn.STDEV.S($E$3:$E$14))-STANDARDIZE($D5,AVERAGE($D$3:$D$14),_xlfn.STDEV.S($D$3:$D$14)))),0.02))</formula>
    </cfRule>
  </conditionalFormatting>
  <conditionalFormatting sqref="I6">
    <cfRule type="expression" priority="10" dxfId="0">
      <formula>AND(ISNUMBER(F6),ABS(F6-(STANDARDIZE($D6,AVERAGE($D$3:$D$14),_xlfn.STDEV.S($D$3:$D$14))))&lt;=MAX(0.02*ABS(STANDARDIZE($D6,AVERAGE($D$3:$D$14),_xlfn.STDEV.S($D$3:$D$14))),0.02))</formula>
    </cfRule>
  </conditionalFormatting>
  <conditionalFormatting sqref="J6">
    <cfRule type="expression" priority="11" dxfId="0">
      <formula>AND(ISNUMBER(G6),ABS(G6-(STANDARDIZE($E6,AVERAGE($E$3:$E$14),_xlfn.STDEV.S($E$3:$E$14))))&lt;=MAX(0.02*ABS(STANDARDIZE($E6,AVERAGE($E$3:$E$14),_xlfn.STDEV.S($E$3:$E$14))),0.02))</formula>
    </cfRule>
  </conditionalFormatting>
  <conditionalFormatting sqref="K6">
    <cfRule type="expression" priority="12" dxfId="0">
      <formula>AND(ISNUMBER(H6),ABS(H6-((STANDARDIZE($E6,AVERAGE($E$3:$E$14),_xlfn.STDEV.S($E$3:$E$14))-STANDARDIZE($D6,AVERAGE($D$3:$D$14),_xlfn.STDEV.S($D$3:$D$14)))))&lt;=MAX(0.02*ABS((STANDARDIZE($E6,AVERAGE($E$3:$E$14),_xlfn.STDEV.S($E$3:$E$14))-STANDARDIZE($D6,AVERAGE($D$3:$D$14),_xlfn.STDEV.S($D$3:$D$14)))),0.02))</formula>
    </cfRule>
  </conditionalFormatting>
  <conditionalFormatting sqref="I7">
    <cfRule type="expression" priority="13" dxfId="0">
      <formula>AND(ISNUMBER(F7),ABS(F7-(STANDARDIZE($D7,AVERAGE($D$3:$D$14),_xlfn.STDEV.S($D$3:$D$14))))&lt;=MAX(0.02*ABS(STANDARDIZE($D7,AVERAGE($D$3:$D$14),_xlfn.STDEV.S($D$3:$D$14))),0.02))</formula>
    </cfRule>
  </conditionalFormatting>
  <conditionalFormatting sqref="J7">
    <cfRule type="expression" priority="14" dxfId="0">
      <formula>AND(ISNUMBER(G7),ABS(G7-(STANDARDIZE($E7,AVERAGE($E$3:$E$14),_xlfn.STDEV.S($E$3:$E$14))))&lt;=MAX(0.02*ABS(STANDARDIZE($E7,AVERAGE($E$3:$E$14),_xlfn.STDEV.S($E$3:$E$14))),0.02))</formula>
    </cfRule>
  </conditionalFormatting>
  <conditionalFormatting sqref="K7">
    <cfRule type="expression" priority="15" dxfId="0">
      <formula>AND(ISNUMBER(H7),ABS(H7-((STANDARDIZE($E7,AVERAGE($E$3:$E$14),_xlfn.STDEV.S($E$3:$E$14))-STANDARDIZE($D7,AVERAGE($D$3:$D$14),_xlfn.STDEV.S($D$3:$D$14)))))&lt;=MAX(0.02*ABS((STANDARDIZE($E7,AVERAGE($E$3:$E$14),_xlfn.STDEV.S($E$3:$E$14))-STANDARDIZE($D7,AVERAGE($D$3:$D$14),_xlfn.STDEV.S($D$3:$D$14)))),0.02))</formula>
    </cfRule>
  </conditionalFormatting>
  <conditionalFormatting sqref="I8">
    <cfRule type="expression" priority="16" dxfId="0">
      <formula>AND(ISNUMBER(F8),ABS(F8-(STANDARDIZE($D8,AVERAGE($D$3:$D$14),_xlfn.STDEV.S($D$3:$D$14))))&lt;=MAX(0.02*ABS(STANDARDIZE($D8,AVERAGE($D$3:$D$14),_xlfn.STDEV.S($D$3:$D$14))),0.02))</formula>
    </cfRule>
  </conditionalFormatting>
  <conditionalFormatting sqref="J8">
    <cfRule type="expression" priority="17" dxfId="0">
      <formula>AND(ISNUMBER(G8),ABS(G8-(STANDARDIZE($E8,AVERAGE($E$3:$E$14),_xlfn.STDEV.S($E$3:$E$14))))&lt;=MAX(0.02*ABS(STANDARDIZE($E8,AVERAGE($E$3:$E$14),_xlfn.STDEV.S($E$3:$E$14))),0.02))</formula>
    </cfRule>
  </conditionalFormatting>
  <conditionalFormatting sqref="K8">
    <cfRule type="expression" priority="18" dxfId="0">
      <formula>AND(ISNUMBER(H8),ABS(H8-((STANDARDIZE($E8,AVERAGE($E$3:$E$14),_xlfn.STDEV.S($E$3:$E$14))-STANDARDIZE($D8,AVERAGE($D$3:$D$14),_xlfn.STDEV.S($D$3:$D$14)))))&lt;=MAX(0.02*ABS((STANDARDIZE($E8,AVERAGE($E$3:$E$14),_xlfn.STDEV.S($E$3:$E$14))-STANDARDIZE($D8,AVERAGE($D$3:$D$14),_xlfn.STDEV.S($D$3:$D$14)))),0.02))</formula>
    </cfRule>
  </conditionalFormatting>
  <conditionalFormatting sqref="I9">
    <cfRule type="expression" priority="19" dxfId="0">
      <formula>AND(ISNUMBER(F9),ABS(F9-(STANDARDIZE($D9,AVERAGE($D$3:$D$14),_xlfn.STDEV.S($D$3:$D$14))))&lt;=MAX(0.02*ABS(STANDARDIZE($D9,AVERAGE($D$3:$D$14),_xlfn.STDEV.S($D$3:$D$14))),0.02))</formula>
    </cfRule>
  </conditionalFormatting>
  <conditionalFormatting sqref="J9">
    <cfRule type="expression" priority="20" dxfId="0">
      <formula>AND(ISNUMBER(G9),ABS(G9-(STANDARDIZE($E9,AVERAGE($E$3:$E$14),_xlfn.STDEV.S($E$3:$E$14))))&lt;=MAX(0.02*ABS(STANDARDIZE($E9,AVERAGE($E$3:$E$14),_xlfn.STDEV.S($E$3:$E$14))),0.02))</formula>
    </cfRule>
  </conditionalFormatting>
  <conditionalFormatting sqref="K9">
    <cfRule type="expression" priority="21" dxfId="0">
      <formula>AND(ISNUMBER(H9),ABS(H9-((STANDARDIZE($E9,AVERAGE($E$3:$E$14),_xlfn.STDEV.S($E$3:$E$14))-STANDARDIZE($D9,AVERAGE($D$3:$D$14),_xlfn.STDEV.S($D$3:$D$14)))))&lt;=MAX(0.02*ABS((STANDARDIZE($E9,AVERAGE($E$3:$E$14),_xlfn.STDEV.S($E$3:$E$14))-STANDARDIZE($D9,AVERAGE($D$3:$D$14),_xlfn.STDEV.S($D$3:$D$14)))),0.02))</formula>
    </cfRule>
  </conditionalFormatting>
  <conditionalFormatting sqref="I10">
    <cfRule type="expression" priority="22" dxfId="0">
      <formula>AND(ISNUMBER(F10),ABS(F10-(STANDARDIZE($D10,AVERAGE($D$3:$D$14),_xlfn.STDEV.S($D$3:$D$14))))&lt;=MAX(0.02*ABS(STANDARDIZE($D10,AVERAGE($D$3:$D$14),_xlfn.STDEV.S($D$3:$D$14))),0.02))</formula>
    </cfRule>
  </conditionalFormatting>
  <conditionalFormatting sqref="J10">
    <cfRule type="expression" priority="23" dxfId="0">
      <formula>AND(ISNUMBER(G10),ABS(G10-(STANDARDIZE($E10,AVERAGE($E$3:$E$14),_xlfn.STDEV.S($E$3:$E$14))))&lt;=MAX(0.02*ABS(STANDARDIZE($E10,AVERAGE($E$3:$E$14),_xlfn.STDEV.S($E$3:$E$14))),0.02))</formula>
    </cfRule>
  </conditionalFormatting>
  <conditionalFormatting sqref="K10">
    <cfRule type="expression" priority="24" dxfId="0">
      <formula>AND(ISNUMBER(H10),ABS(H10-((STANDARDIZE($E10,AVERAGE($E$3:$E$14),_xlfn.STDEV.S($E$3:$E$14))-STANDARDIZE($D10,AVERAGE($D$3:$D$14),_xlfn.STDEV.S($D$3:$D$14)))))&lt;=MAX(0.02*ABS((STANDARDIZE($E10,AVERAGE($E$3:$E$14),_xlfn.STDEV.S($E$3:$E$14))-STANDARDIZE($D10,AVERAGE($D$3:$D$14),_xlfn.STDEV.S($D$3:$D$14)))),0.02))</formula>
    </cfRule>
  </conditionalFormatting>
  <conditionalFormatting sqref="I11">
    <cfRule type="expression" priority="25" dxfId="0">
      <formula>AND(ISNUMBER(F11),ABS(F11-(STANDARDIZE($D11,AVERAGE($D$3:$D$14),_xlfn.STDEV.S($D$3:$D$14))))&lt;=MAX(0.02*ABS(STANDARDIZE($D11,AVERAGE($D$3:$D$14),_xlfn.STDEV.S($D$3:$D$14))),0.02))</formula>
    </cfRule>
  </conditionalFormatting>
  <conditionalFormatting sqref="J11">
    <cfRule type="expression" priority="26" dxfId="0">
      <formula>AND(ISNUMBER(G11),ABS(G11-(STANDARDIZE($E11,AVERAGE($E$3:$E$14),_xlfn.STDEV.S($E$3:$E$14))))&lt;=MAX(0.02*ABS(STANDARDIZE($E11,AVERAGE($E$3:$E$14),_xlfn.STDEV.S($E$3:$E$14))),0.02))</formula>
    </cfRule>
  </conditionalFormatting>
  <conditionalFormatting sqref="K11">
    <cfRule type="expression" priority="27" dxfId="0">
      <formula>AND(ISNUMBER(H11),ABS(H11-((STANDARDIZE($E11,AVERAGE($E$3:$E$14),_xlfn.STDEV.S($E$3:$E$14))-STANDARDIZE($D11,AVERAGE($D$3:$D$14),_xlfn.STDEV.S($D$3:$D$14)))))&lt;=MAX(0.02*ABS((STANDARDIZE($E11,AVERAGE($E$3:$E$14),_xlfn.STDEV.S($E$3:$E$14))-STANDARDIZE($D11,AVERAGE($D$3:$D$14),_xlfn.STDEV.S($D$3:$D$14)))),0.02))</formula>
    </cfRule>
  </conditionalFormatting>
  <conditionalFormatting sqref="I12">
    <cfRule type="expression" priority="28" dxfId="0">
      <formula>AND(ISNUMBER(F12),ABS(F12-(STANDARDIZE($D12,AVERAGE($D$3:$D$14),_xlfn.STDEV.S($D$3:$D$14))))&lt;=MAX(0.02*ABS(STANDARDIZE($D12,AVERAGE($D$3:$D$14),_xlfn.STDEV.S($D$3:$D$14))),0.02))</formula>
    </cfRule>
  </conditionalFormatting>
  <conditionalFormatting sqref="J12">
    <cfRule type="expression" priority="29" dxfId="0">
      <formula>AND(ISNUMBER(G12),ABS(G12-(STANDARDIZE($E12,AVERAGE($E$3:$E$14),_xlfn.STDEV.S($E$3:$E$14))))&lt;=MAX(0.02*ABS(STANDARDIZE($E12,AVERAGE($E$3:$E$14),_xlfn.STDEV.S($E$3:$E$14))),0.02))</formula>
    </cfRule>
  </conditionalFormatting>
  <conditionalFormatting sqref="K12">
    <cfRule type="expression" priority="30" dxfId="0">
      <formula>AND(ISNUMBER(H12),ABS(H12-((STANDARDIZE($E12,AVERAGE($E$3:$E$14),_xlfn.STDEV.S($E$3:$E$14))-STANDARDIZE($D12,AVERAGE($D$3:$D$14),_xlfn.STDEV.S($D$3:$D$14)))))&lt;=MAX(0.02*ABS((STANDARDIZE($E12,AVERAGE($E$3:$E$14),_xlfn.STDEV.S($E$3:$E$14))-STANDARDIZE($D12,AVERAGE($D$3:$D$14),_xlfn.STDEV.S($D$3:$D$14)))),0.02))</formula>
    </cfRule>
  </conditionalFormatting>
  <conditionalFormatting sqref="I13">
    <cfRule type="expression" priority="31" dxfId="0">
      <formula>AND(ISNUMBER(F13),ABS(F13-(STANDARDIZE($D13,AVERAGE($D$3:$D$14),_xlfn.STDEV.S($D$3:$D$14))))&lt;=MAX(0.02*ABS(STANDARDIZE($D13,AVERAGE($D$3:$D$14),_xlfn.STDEV.S($D$3:$D$14))),0.02))</formula>
    </cfRule>
  </conditionalFormatting>
  <conditionalFormatting sqref="J13">
    <cfRule type="expression" priority="32" dxfId="0">
      <formula>AND(ISNUMBER(G13),ABS(G13-(STANDARDIZE($E13,AVERAGE($E$3:$E$14),_xlfn.STDEV.S($E$3:$E$14))))&lt;=MAX(0.02*ABS(STANDARDIZE($E13,AVERAGE($E$3:$E$14),_xlfn.STDEV.S($E$3:$E$14))),0.02))</formula>
    </cfRule>
  </conditionalFormatting>
  <conditionalFormatting sqref="K13">
    <cfRule type="expression" priority="33" dxfId="0">
      <formula>AND(ISNUMBER(H13),ABS(H13-((STANDARDIZE($E13,AVERAGE($E$3:$E$14),_xlfn.STDEV.S($E$3:$E$14))-STANDARDIZE($D13,AVERAGE($D$3:$D$14),_xlfn.STDEV.S($D$3:$D$14)))))&lt;=MAX(0.02*ABS((STANDARDIZE($E13,AVERAGE($E$3:$E$14),_xlfn.STDEV.S($E$3:$E$14))-STANDARDIZE($D13,AVERAGE($D$3:$D$14),_xlfn.STDEV.S($D$3:$D$14)))),0.02))</formula>
    </cfRule>
  </conditionalFormatting>
  <conditionalFormatting sqref="I14">
    <cfRule type="expression" priority="34" dxfId="0">
      <formula>AND(ISNUMBER(F14),ABS(F14-(STANDARDIZE($D14,AVERAGE($D$3:$D$14),_xlfn.STDEV.S($D$3:$D$14))))&lt;=MAX(0.02*ABS(STANDARDIZE($D14,AVERAGE($D$3:$D$14),_xlfn.STDEV.S($D$3:$D$14))),0.02))</formula>
    </cfRule>
  </conditionalFormatting>
  <conditionalFormatting sqref="J14">
    <cfRule type="expression" priority="35" dxfId="0">
      <formula>AND(ISNUMBER(G14),ABS(G14-(STANDARDIZE($E14,AVERAGE($E$3:$E$14),_xlfn.STDEV.S($E$3:$E$14))))&lt;=MAX(0.02*ABS(STANDARDIZE($E14,AVERAGE($E$3:$E$14),_xlfn.STDEV.S($E$3:$E$14))),0.02))</formula>
    </cfRule>
  </conditionalFormatting>
  <conditionalFormatting sqref="K14">
    <cfRule type="expression" priority="36" dxfId="0">
      <formula>AND(ISNUMBER(H14),ABS(H14-((STANDARDIZE($E14,AVERAGE($E$3:$E$14),_xlfn.STDEV.S($E$3:$E$14))-STANDARDIZE($D14,AVERAGE($D$3:$D$14),_xlfn.STDEV.S($D$3:$D$14)))))&lt;=MAX(0.02*ABS((STANDARDIZE($E14,AVERAGE($E$3:$E$14),_xlfn.STDEV.S($E$3:$E$14))-STANDARDIZE($D14,AVERAGE($D$3:$D$14),_xlfn.STDEV.S($D$3:$D$14)))),0.02))</formula>
    </cfRule>
  </conditionalFormatting>
  <conditionalFormatting sqref="E17">
    <cfRule type="expression" priority="37" dxfId="0">
      <formula>AND(ISNUMBER(D17),ABS(D17-(CORREL(D3:D14,E3:E14)))&lt;=MAX(0.02*ABS(CORREL(D3:D14,E3:E14)),0.01))</formula>
    </cfRule>
  </conditionalFormatting>
  <conditionalFormatting sqref="E18">
    <cfRule type="expression" priority="38" dxfId="0">
      <formula>AND(ISNUMBER(D18),ABS(D18-(MAX(ABS(MIN(H3:H14)),MAX(H3:H14))))&lt;=MAX(0.02*ABS(MAX(ABS(MIN(H3:H14)),MAX(H3:H14))),0.02))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2026-09-05T15:04:43Z</dcterms:created>
  <dcterms:modified xmlns:dcterms="http://purl.org/dc/terms/" xmlns:xsi="http://www.w3.org/2001/XMLSchema-instance" xsi:type="dcterms:W3CDTF">2026-09-05T15:04:43Z</dcterms:modified>
</cp:coreProperties>
</file>