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pe by hand" sheetId="1" state="visible" r:id="rId1"/>
    <sheet xmlns:r="http://schemas.openxmlformats.org/officeDocument/2006/relationships" name="standard error and p" sheetId="2" state="visible" r:id="rId2"/>
    <sheet xmlns:r="http://schemas.openxmlformats.org/officeDocument/2006/relationships" name="two predi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165" fontId="0" fillId="2" borderId="0" pivotButton="0" quotePrefix="0" xfId="0"/>
    <xf numFmtId="165" fontId="0" fillId="2" borderId="0" applyAlignment="1" pivotButton="0" quotePrefix="0" xfId="0">
      <alignment vertical="top" wrapText="1"/>
    </xf>
    <xf numFmtId="165" fontId="0" fillId="0" borderId="0" pivotButton="0" quotePrefix="0" xfId="0"/>
    <xf numFmtId="166" fontId="0" fillId="2" borderId="0" pivotButton="0" quotePrefix="0" xfId="0"/>
    <xf numFmtId="166" fontId="0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44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Ten team-games from Week 8 of the 2021 NFL regular season, one side of each game. Rush attempts and final margin, from nflverse play-by-play.</t>
        </is>
      </c>
    </row>
    <row r="2">
      <c r="A2" s="2" t="inlineStr">
        <is>
          <t>Team</t>
        </is>
      </c>
      <c r="B2" s="2" t="inlineStr">
        <is>
          <t>Opponent</t>
        </is>
      </c>
      <c r="C2" s="2" t="inlineStr">
        <is>
          <t>Rush attempts (x)</t>
        </is>
      </c>
      <c r="D2" s="2" t="inlineStr">
        <is>
          <t>Margin (y)</t>
        </is>
      </c>
      <c r="E2" s="2" t="inlineStr">
        <is>
          <t>x minus mean x</t>
        </is>
      </c>
      <c r="F2" s="2" t="inlineStr">
        <is>
          <t>y minus mean y</t>
        </is>
      </c>
      <c r="G2" s="2" t="inlineStr">
        <is>
          <t>product</t>
        </is>
      </c>
      <c r="H2" s="2" t="inlineStr">
        <is>
          <t>x deviation squared</t>
        </is>
      </c>
      <c r="J2" s="3" t="inlineStr">
        <is>
          <t>Check</t>
        </is>
      </c>
      <c r="K2" s="3" t="inlineStr">
        <is>
          <t>Check</t>
        </is>
      </c>
      <c r="L2" s="3" t="inlineStr">
        <is>
          <t>Check</t>
        </is>
      </c>
      <c r="M2" s="3" t="inlineStr">
        <is>
          <t>Check</t>
        </is>
      </c>
    </row>
    <row r="3">
      <c r="A3" t="inlineStr">
        <is>
          <t>CAR</t>
        </is>
      </c>
      <c r="B3" t="inlineStr">
        <is>
          <t>at ATL</t>
        </is>
      </c>
      <c r="C3" t="n">
        <v>46</v>
      </c>
      <c r="D3" t="n">
        <v>6</v>
      </c>
      <c r="E3" s="4" t="n"/>
      <c r="F3" s="4" t="n"/>
      <c r="G3" s="4" t="n"/>
      <c r="H3" s="4" t="n"/>
      <c r="J3" s="5" t="n"/>
      <c r="K3" s="5" t="n"/>
      <c r="L3" s="5" t="n"/>
      <c r="M3" s="5" t="n"/>
    </row>
    <row r="4">
      <c r="A4" t="inlineStr">
        <is>
          <t>DAL</t>
        </is>
      </c>
      <c r="B4" t="inlineStr">
        <is>
          <t>at MIN</t>
        </is>
      </c>
      <c r="C4" t="n">
        <v>24</v>
      </c>
      <c r="D4" t="n">
        <v>4</v>
      </c>
      <c r="E4" s="4" t="n"/>
      <c r="F4" s="4" t="n"/>
      <c r="G4" s="4" t="n"/>
      <c r="H4" s="4" t="n"/>
      <c r="J4" s="5" t="n"/>
      <c r="K4" s="5" t="n"/>
      <c r="L4" s="5" t="n"/>
      <c r="M4" s="5" t="n"/>
    </row>
    <row r="5">
      <c r="A5" t="inlineStr">
        <is>
          <t>GB</t>
        </is>
      </c>
      <c r="B5" t="inlineStr">
        <is>
          <t>at ARI</t>
        </is>
      </c>
      <c r="C5" t="n">
        <v>33</v>
      </c>
      <c r="D5" t="n">
        <v>3</v>
      </c>
      <c r="E5" s="4" t="n"/>
      <c r="F5" s="4" t="n"/>
      <c r="G5" s="4" t="n"/>
      <c r="H5" s="4" t="n"/>
      <c r="J5" s="5" t="n"/>
      <c r="K5" s="5" t="n"/>
      <c r="L5" s="5" t="n"/>
      <c r="M5" s="5" t="n"/>
    </row>
    <row r="6">
      <c r="A6" t="inlineStr">
        <is>
          <t>LA</t>
        </is>
      </c>
      <c r="B6" t="inlineStr">
        <is>
          <t>at HOU</t>
        </is>
      </c>
      <c r="C6" t="n">
        <v>31</v>
      </c>
      <c r="D6" t="n">
        <v>16</v>
      </c>
      <c r="E6" s="4" t="n"/>
      <c r="F6" s="4" t="n"/>
      <c r="G6" s="4" t="n"/>
      <c r="H6" s="4" t="n"/>
      <c r="J6" s="5" t="n"/>
      <c r="K6" s="5" t="n"/>
      <c r="L6" s="5" t="n"/>
      <c r="M6" s="5" t="n"/>
    </row>
    <row r="7">
      <c r="A7" t="inlineStr">
        <is>
          <t>LAC</t>
        </is>
      </c>
      <c r="B7" t="inlineStr">
        <is>
          <t>vs NE</t>
        </is>
      </c>
      <c r="C7" t="n">
        <v>19</v>
      </c>
      <c r="D7" t="n">
        <v>-3</v>
      </c>
      <c r="E7" s="4" t="n"/>
      <c r="F7" s="4" t="n"/>
      <c r="G7" s="4" t="n"/>
      <c r="H7" s="4" t="n"/>
      <c r="J7" s="5" t="n"/>
      <c r="K7" s="5" t="n"/>
      <c r="L7" s="5" t="n"/>
      <c r="M7" s="5" t="n"/>
    </row>
    <row r="8">
      <c r="A8" t="inlineStr">
        <is>
          <t>MIA</t>
        </is>
      </c>
      <c r="B8" t="inlineStr">
        <is>
          <t>at BUF</t>
        </is>
      </c>
      <c r="C8" t="n">
        <v>23</v>
      </c>
      <c r="D8" t="n">
        <v>-15</v>
      </c>
      <c r="E8" s="4" t="n"/>
      <c r="F8" s="4" t="n"/>
      <c r="G8" s="4" t="n"/>
      <c r="H8" s="4" t="n"/>
      <c r="J8" s="5" t="n"/>
      <c r="K8" s="5" t="n"/>
      <c r="L8" s="5" t="n"/>
      <c r="M8" s="5" t="n"/>
    </row>
    <row r="9">
      <c r="A9" t="inlineStr">
        <is>
          <t>NYG</t>
        </is>
      </c>
      <c r="B9" t="inlineStr">
        <is>
          <t>at KC</t>
        </is>
      </c>
      <c r="C9" t="n">
        <v>19</v>
      </c>
      <c r="D9" t="n">
        <v>-3</v>
      </c>
      <c r="E9" s="4" t="n"/>
      <c r="F9" s="4" t="n"/>
      <c r="G9" s="4" t="n"/>
      <c r="H9" s="4" t="n"/>
      <c r="J9" s="5" t="n"/>
      <c r="K9" s="5" t="n"/>
      <c r="L9" s="5" t="n"/>
      <c r="M9" s="5" t="n"/>
    </row>
    <row r="10">
      <c r="A10" t="inlineStr">
        <is>
          <t>NYJ</t>
        </is>
      </c>
      <c r="B10" t="inlineStr">
        <is>
          <t>vs CIN</t>
        </is>
      </c>
      <c r="C10" t="n">
        <v>24</v>
      </c>
      <c r="D10" t="n">
        <v>3</v>
      </c>
      <c r="E10" s="4" t="n"/>
      <c r="F10" s="4" t="n"/>
      <c r="G10" s="4" t="n"/>
      <c r="H10" s="4" t="n"/>
      <c r="J10" s="5" t="n"/>
      <c r="K10" s="5" t="n"/>
      <c r="L10" s="5" t="n"/>
      <c r="M10" s="5" t="n"/>
    </row>
    <row r="11">
      <c r="A11" t="inlineStr">
        <is>
          <t>PHI</t>
        </is>
      </c>
      <c r="B11" t="inlineStr">
        <is>
          <t>at DET</t>
        </is>
      </c>
      <c r="C11" t="n">
        <v>45</v>
      </c>
      <c r="D11" t="n">
        <v>38</v>
      </c>
      <c r="E11" s="4" t="n"/>
      <c r="F11" s="4" t="n"/>
      <c r="G11" s="4" t="n"/>
      <c r="H11" s="4" t="n"/>
      <c r="J11" s="5" t="n"/>
      <c r="K11" s="5" t="n"/>
      <c r="L11" s="5" t="n"/>
      <c r="M11" s="5" t="n"/>
    </row>
    <row r="12">
      <c r="A12" t="inlineStr">
        <is>
          <t>SEA</t>
        </is>
      </c>
      <c r="B12" t="inlineStr">
        <is>
          <t>vs JAX</t>
        </is>
      </c>
      <c r="C12" t="n">
        <v>25</v>
      </c>
      <c r="D12" t="n">
        <v>24</v>
      </c>
      <c r="E12" s="4" t="n"/>
      <c r="F12" s="4" t="n"/>
      <c r="G12" s="4" t="n"/>
      <c r="H12" s="4" t="n"/>
      <c r="J12" s="5" t="n"/>
      <c r="K12" s="5" t="n"/>
      <c r="L12" s="5" t="n"/>
      <c r="M12" s="5" t="n"/>
    </row>
    <row r="14">
      <c r="E14" s="3" t="inlineStr">
        <is>
          <t>Your answer</t>
        </is>
      </c>
      <c r="F14" s="3" t="inlineStr">
        <is>
          <t>Check</t>
        </is>
      </c>
    </row>
    <row r="15">
      <c r="D15" s="2" t="inlineStr">
        <is>
          <t>Mean rush attempts, AVERAGE</t>
        </is>
      </c>
      <c r="E15" s="6" t="n"/>
      <c r="F15" s="5" t="n"/>
    </row>
    <row r="16">
      <c r="D16" s="2" t="inlineStr">
        <is>
          <t>Mean margin, AVERAGE</t>
        </is>
      </c>
      <c r="E16" s="6" t="n"/>
      <c r="F16" s="5" t="n"/>
    </row>
    <row r="17">
      <c r="D17" s="2" t="inlineStr">
        <is>
          <t>Sum of the products column</t>
        </is>
      </c>
      <c r="E17" s="6" t="n"/>
      <c r="F17" s="5" t="n"/>
    </row>
    <row r="18">
      <c r="D18" s="2" t="inlineStr">
        <is>
          <t>Sum of the squared x deviations</t>
        </is>
      </c>
      <c r="E18" s="6" t="n"/>
      <c r="F18" s="5" t="n"/>
    </row>
    <row r="19">
      <c r="D19" s="2" t="inlineStr">
        <is>
          <t>Slope by hand: sum of products divided by sum of squares</t>
        </is>
      </c>
      <c r="E19" s="6" t="n"/>
      <c r="F19" s="5" t="n"/>
    </row>
    <row r="20">
      <c r="D20" s="2" t="inlineStr">
        <is>
          <t>Intercept by hand: mean y minus slope times mean x</t>
        </is>
      </c>
      <c r="E20" s="6" t="n"/>
      <c r="F20" s="5" t="n"/>
    </row>
    <row r="21">
      <c r="D21" s="2" t="inlineStr">
        <is>
          <t>Slope from Excel, SLOPE(y range, x range)</t>
        </is>
      </c>
      <c r="E21" s="6" t="n"/>
      <c r="F21" s="5" t="n"/>
    </row>
    <row r="22">
      <c r="D22" s="2" t="inlineStr">
        <is>
          <t>Intercept from Excel, INTERCEPT(y range, x range)</t>
        </is>
      </c>
      <c r="E22" s="6" t="n"/>
      <c r="F22" s="5" t="n"/>
    </row>
    <row r="23">
      <c r="D23" s="2" t="inlineStr">
        <is>
          <t>Correlation, CORREL</t>
        </is>
      </c>
      <c r="E23" s="6" t="n"/>
      <c r="F23" s="5" t="n"/>
    </row>
    <row r="24">
      <c r="D24" s="2" t="inlineStr">
        <is>
          <t>R squared, RSQ</t>
        </is>
      </c>
      <c r="E24" s="6" t="n"/>
      <c r="F24" s="5" t="n"/>
    </row>
    <row r="25">
      <c r="D25" s="2" t="inlineStr">
        <is>
          <t>Predicted margin for a team that runs 30 times</t>
        </is>
      </c>
      <c r="E25" s="6" t="n"/>
      <c r="F25" s="5" t="n"/>
    </row>
    <row r="26">
      <c r="D26" s="2" t="inlineStr">
        <is>
          <t>Residual for LAC: actual margin minus predicted</t>
        </is>
      </c>
      <c r="E26" s="6" t="n"/>
      <c r="F26" s="5" t="n"/>
    </row>
    <row r="28">
      <c r="A28" s="1" t="inlineStr">
        <is>
          <t>Fill the yellow cells. The four columns to the right of the data build the slope the long way; the block below checks it against SLOPE and INTERCEPT. A cell turns its Check green when the answer is within two percent.</t>
        </is>
      </c>
    </row>
  </sheetData>
  <conditionalFormatting sqref="J3">
    <cfRule type="expression" priority="1" dxfId="0">
      <formula>AND(ISNUMBER(E3),ABS(E3-((C3-AVERAGE($C$3:$C$12))))&lt;=MAX(0.02*ABS((C3-AVERAGE($C$3:$C$12))),0.05))</formula>
    </cfRule>
  </conditionalFormatting>
  <conditionalFormatting sqref="K3">
    <cfRule type="expression" priority="2" dxfId="0">
      <formula>AND(ISNUMBER(F3),ABS(F3-((D3-AVERAGE($D$3:$D$12))))&lt;=MAX(0.02*ABS((D3-AVERAGE($D$3:$D$12))),0.05))</formula>
    </cfRule>
  </conditionalFormatting>
  <conditionalFormatting sqref="L3">
    <cfRule type="expression" priority="3" dxfId="0">
      <formula>AND(ISNUMBER(G3),ABS(G3-(((C3-AVERAGE($C$3:$C$12))*(D3-AVERAGE($D$3:$D$12)))))&lt;=MAX(0.02*ABS(((C3-AVERAGE($C$3:$C$12))*(D3-AVERAGE($D$3:$D$12)))),0.05))</formula>
    </cfRule>
  </conditionalFormatting>
  <conditionalFormatting sqref="M3">
    <cfRule type="expression" priority="4" dxfId="0">
      <formula>AND(ISNUMBER(H3),ABS(H3-(((C3-AVERAGE($C$3:$C$12))^2)))&lt;=MAX(0.02*ABS(((C3-AVERAGE($C$3:$C$12))^2)),0.05))</formula>
    </cfRule>
  </conditionalFormatting>
  <conditionalFormatting sqref="J4">
    <cfRule type="expression" priority="5" dxfId="0">
      <formula>AND(ISNUMBER(E4),ABS(E4-((C4-AVERAGE($C$3:$C$12))))&lt;=MAX(0.02*ABS((C4-AVERAGE($C$3:$C$12))),0.05))</formula>
    </cfRule>
  </conditionalFormatting>
  <conditionalFormatting sqref="K4">
    <cfRule type="expression" priority="6" dxfId="0">
      <formula>AND(ISNUMBER(F4),ABS(F4-((D4-AVERAGE($D$3:$D$12))))&lt;=MAX(0.02*ABS((D4-AVERAGE($D$3:$D$12))),0.05))</formula>
    </cfRule>
  </conditionalFormatting>
  <conditionalFormatting sqref="L4">
    <cfRule type="expression" priority="7" dxfId="0">
      <formula>AND(ISNUMBER(G4),ABS(G4-(((C4-AVERAGE($C$3:$C$12))*(D4-AVERAGE($D$3:$D$12)))))&lt;=MAX(0.02*ABS(((C4-AVERAGE($C$3:$C$12))*(D4-AVERAGE($D$3:$D$12)))),0.05))</formula>
    </cfRule>
  </conditionalFormatting>
  <conditionalFormatting sqref="M4">
    <cfRule type="expression" priority="8" dxfId="0">
      <formula>AND(ISNUMBER(H4),ABS(H4-(((C4-AVERAGE($C$3:$C$12))^2)))&lt;=MAX(0.02*ABS(((C4-AVERAGE($C$3:$C$12))^2)),0.05))</formula>
    </cfRule>
  </conditionalFormatting>
  <conditionalFormatting sqref="J5">
    <cfRule type="expression" priority="9" dxfId="0">
      <formula>AND(ISNUMBER(E5),ABS(E5-((C5-AVERAGE($C$3:$C$12))))&lt;=MAX(0.02*ABS((C5-AVERAGE($C$3:$C$12))),0.05))</formula>
    </cfRule>
  </conditionalFormatting>
  <conditionalFormatting sqref="K5">
    <cfRule type="expression" priority="10" dxfId="0">
      <formula>AND(ISNUMBER(F5),ABS(F5-((D5-AVERAGE($D$3:$D$12))))&lt;=MAX(0.02*ABS((D5-AVERAGE($D$3:$D$12))),0.05))</formula>
    </cfRule>
  </conditionalFormatting>
  <conditionalFormatting sqref="L5">
    <cfRule type="expression" priority="11" dxfId="0">
      <formula>AND(ISNUMBER(G5),ABS(G5-(((C5-AVERAGE($C$3:$C$12))*(D5-AVERAGE($D$3:$D$12)))))&lt;=MAX(0.02*ABS(((C5-AVERAGE($C$3:$C$12))*(D5-AVERAGE($D$3:$D$12)))),0.05))</formula>
    </cfRule>
  </conditionalFormatting>
  <conditionalFormatting sqref="M5">
    <cfRule type="expression" priority="12" dxfId="0">
      <formula>AND(ISNUMBER(H5),ABS(H5-(((C5-AVERAGE($C$3:$C$12))^2)))&lt;=MAX(0.02*ABS(((C5-AVERAGE($C$3:$C$12))^2)),0.05))</formula>
    </cfRule>
  </conditionalFormatting>
  <conditionalFormatting sqref="J6">
    <cfRule type="expression" priority="13" dxfId="0">
      <formula>AND(ISNUMBER(E6),ABS(E6-((C6-AVERAGE($C$3:$C$12))))&lt;=MAX(0.02*ABS((C6-AVERAGE($C$3:$C$12))),0.05))</formula>
    </cfRule>
  </conditionalFormatting>
  <conditionalFormatting sqref="K6">
    <cfRule type="expression" priority="14" dxfId="0">
      <formula>AND(ISNUMBER(F6),ABS(F6-((D6-AVERAGE($D$3:$D$12))))&lt;=MAX(0.02*ABS((D6-AVERAGE($D$3:$D$12))),0.05))</formula>
    </cfRule>
  </conditionalFormatting>
  <conditionalFormatting sqref="L6">
    <cfRule type="expression" priority="15" dxfId="0">
      <formula>AND(ISNUMBER(G6),ABS(G6-(((C6-AVERAGE($C$3:$C$12))*(D6-AVERAGE($D$3:$D$12)))))&lt;=MAX(0.02*ABS(((C6-AVERAGE($C$3:$C$12))*(D6-AVERAGE($D$3:$D$12)))),0.05))</formula>
    </cfRule>
  </conditionalFormatting>
  <conditionalFormatting sqref="M6">
    <cfRule type="expression" priority="16" dxfId="0">
      <formula>AND(ISNUMBER(H6),ABS(H6-(((C6-AVERAGE($C$3:$C$12))^2)))&lt;=MAX(0.02*ABS(((C6-AVERAGE($C$3:$C$12))^2)),0.05))</formula>
    </cfRule>
  </conditionalFormatting>
  <conditionalFormatting sqref="J7">
    <cfRule type="expression" priority="17" dxfId="0">
      <formula>AND(ISNUMBER(E7),ABS(E7-((C7-AVERAGE($C$3:$C$12))))&lt;=MAX(0.02*ABS((C7-AVERAGE($C$3:$C$12))),0.05))</formula>
    </cfRule>
  </conditionalFormatting>
  <conditionalFormatting sqref="K7">
    <cfRule type="expression" priority="18" dxfId="0">
      <formula>AND(ISNUMBER(F7),ABS(F7-((D7-AVERAGE($D$3:$D$12))))&lt;=MAX(0.02*ABS((D7-AVERAGE($D$3:$D$12))),0.05))</formula>
    </cfRule>
  </conditionalFormatting>
  <conditionalFormatting sqref="L7">
    <cfRule type="expression" priority="19" dxfId="0">
      <formula>AND(ISNUMBER(G7),ABS(G7-(((C7-AVERAGE($C$3:$C$12))*(D7-AVERAGE($D$3:$D$12)))))&lt;=MAX(0.02*ABS(((C7-AVERAGE($C$3:$C$12))*(D7-AVERAGE($D$3:$D$12)))),0.05))</formula>
    </cfRule>
  </conditionalFormatting>
  <conditionalFormatting sqref="M7">
    <cfRule type="expression" priority="20" dxfId="0">
      <formula>AND(ISNUMBER(H7),ABS(H7-(((C7-AVERAGE($C$3:$C$12))^2)))&lt;=MAX(0.02*ABS(((C7-AVERAGE($C$3:$C$12))^2)),0.05))</formula>
    </cfRule>
  </conditionalFormatting>
  <conditionalFormatting sqref="J8">
    <cfRule type="expression" priority="21" dxfId="0">
      <formula>AND(ISNUMBER(E8),ABS(E8-((C8-AVERAGE($C$3:$C$12))))&lt;=MAX(0.02*ABS((C8-AVERAGE($C$3:$C$12))),0.05))</formula>
    </cfRule>
  </conditionalFormatting>
  <conditionalFormatting sqref="K8">
    <cfRule type="expression" priority="22" dxfId="0">
      <formula>AND(ISNUMBER(F8),ABS(F8-((D8-AVERAGE($D$3:$D$12))))&lt;=MAX(0.02*ABS((D8-AVERAGE($D$3:$D$12))),0.05))</formula>
    </cfRule>
  </conditionalFormatting>
  <conditionalFormatting sqref="L8">
    <cfRule type="expression" priority="23" dxfId="0">
      <formula>AND(ISNUMBER(G8),ABS(G8-(((C8-AVERAGE($C$3:$C$12))*(D8-AVERAGE($D$3:$D$12)))))&lt;=MAX(0.02*ABS(((C8-AVERAGE($C$3:$C$12))*(D8-AVERAGE($D$3:$D$12)))),0.05))</formula>
    </cfRule>
  </conditionalFormatting>
  <conditionalFormatting sqref="M8">
    <cfRule type="expression" priority="24" dxfId="0">
      <formula>AND(ISNUMBER(H8),ABS(H8-(((C8-AVERAGE($C$3:$C$12))^2)))&lt;=MAX(0.02*ABS(((C8-AVERAGE($C$3:$C$12))^2)),0.05))</formula>
    </cfRule>
  </conditionalFormatting>
  <conditionalFormatting sqref="J9">
    <cfRule type="expression" priority="25" dxfId="0">
      <formula>AND(ISNUMBER(E9),ABS(E9-((C9-AVERAGE($C$3:$C$12))))&lt;=MAX(0.02*ABS((C9-AVERAGE($C$3:$C$12))),0.05))</formula>
    </cfRule>
  </conditionalFormatting>
  <conditionalFormatting sqref="K9">
    <cfRule type="expression" priority="26" dxfId="0">
      <formula>AND(ISNUMBER(F9),ABS(F9-((D9-AVERAGE($D$3:$D$12))))&lt;=MAX(0.02*ABS((D9-AVERAGE($D$3:$D$12))),0.05))</formula>
    </cfRule>
  </conditionalFormatting>
  <conditionalFormatting sqref="L9">
    <cfRule type="expression" priority="27" dxfId="0">
      <formula>AND(ISNUMBER(G9),ABS(G9-(((C9-AVERAGE($C$3:$C$12))*(D9-AVERAGE($D$3:$D$12)))))&lt;=MAX(0.02*ABS(((C9-AVERAGE($C$3:$C$12))*(D9-AVERAGE($D$3:$D$12)))),0.05))</formula>
    </cfRule>
  </conditionalFormatting>
  <conditionalFormatting sqref="M9">
    <cfRule type="expression" priority="28" dxfId="0">
      <formula>AND(ISNUMBER(H9),ABS(H9-(((C9-AVERAGE($C$3:$C$12))^2)))&lt;=MAX(0.02*ABS(((C9-AVERAGE($C$3:$C$12))^2)),0.05))</formula>
    </cfRule>
  </conditionalFormatting>
  <conditionalFormatting sqref="J10">
    <cfRule type="expression" priority="29" dxfId="0">
      <formula>AND(ISNUMBER(E10),ABS(E10-((C10-AVERAGE($C$3:$C$12))))&lt;=MAX(0.02*ABS((C10-AVERAGE($C$3:$C$12))),0.05))</formula>
    </cfRule>
  </conditionalFormatting>
  <conditionalFormatting sqref="K10">
    <cfRule type="expression" priority="30" dxfId="0">
      <formula>AND(ISNUMBER(F10),ABS(F10-((D10-AVERAGE($D$3:$D$12))))&lt;=MAX(0.02*ABS((D10-AVERAGE($D$3:$D$12))),0.05))</formula>
    </cfRule>
  </conditionalFormatting>
  <conditionalFormatting sqref="L10">
    <cfRule type="expression" priority="31" dxfId="0">
      <formula>AND(ISNUMBER(G10),ABS(G10-(((C10-AVERAGE($C$3:$C$12))*(D10-AVERAGE($D$3:$D$12)))))&lt;=MAX(0.02*ABS(((C10-AVERAGE($C$3:$C$12))*(D10-AVERAGE($D$3:$D$12)))),0.05))</formula>
    </cfRule>
  </conditionalFormatting>
  <conditionalFormatting sqref="M10">
    <cfRule type="expression" priority="32" dxfId="0">
      <formula>AND(ISNUMBER(H10),ABS(H10-(((C10-AVERAGE($C$3:$C$12))^2)))&lt;=MAX(0.02*ABS(((C10-AVERAGE($C$3:$C$12))^2)),0.05))</formula>
    </cfRule>
  </conditionalFormatting>
  <conditionalFormatting sqref="J11">
    <cfRule type="expression" priority="33" dxfId="0">
      <formula>AND(ISNUMBER(E11),ABS(E11-((C11-AVERAGE($C$3:$C$12))))&lt;=MAX(0.02*ABS((C11-AVERAGE($C$3:$C$12))),0.05))</formula>
    </cfRule>
  </conditionalFormatting>
  <conditionalFormatting sqref="K11">
    <cfRule type="expression" priority="34" dxfId="0">
      <formula>AND(ISNUMBER(F11),ABS(F11-((D11-AVERAGE($D$3:$D$12))))&lt;=MAX(0.02*ABS((D11-AVERAGE($D$3:$D$12))),0.05))</formula>
    </cfRule>
  </conditionalFormatting>
  <conditionalFormatting sqref="L11">
    <cfRule type="expression" priority="35" dxfId="0">
      <formula>AND(ISNUMBER(G11),ABS(G11-(((C11-AVERAGE($C$3:$C$12))*(D11-AVERAGE($D$3:$D$12)))))&lt;=MAX(0.02*ABS(((C11-AVERAGE($C$3:$C$12))*(D11-AVERAGE($D$3:$D$12)))),0.05))</formula>
    </cfRule>
  </conditionalFormatting>
  <conditionalFormatting sqref="M11">
    <cfRule type="expression" priority="36" dxfId="0">
      <formula>AND(ISNUMBER(H11),ABS(H11-(((C11-AVERAGE($C$3:$C$12))^2)))&lt;=MAX(0.02*ABS(((C11-AVERAGE($C$3:$C$12))^2)),0.05))</formula>
    </cfRule>
  </conditionalFormatting>
  <conditionalFormatting sqref="J12">
    <cfRule type="expression" priority="37" dxfId="0">
      <formula>AND(ISNUMBER(E12),ABS(E12-((C12-AVERAGE($C$3:$C$12))))&lt;=MAX(0.02*ABS((C12-AVERAGE($C$3:$C$12))),0.05))</formula>
    </cfRule>
  </conditionalFormatting>
  <conditionalFormatting sqref="K12">
    <cfRule type="expression" priority="38" dxfId="0">
      <formula>AND(ISNUMBER(F12),ABS(F12-((D12-AVERAGE($D$3:$D$12))))&lt;=MAX(0.02*ABS((D12-AVERAGE($D$3:$D$12))),0.05))</formula>
    </cfRule>
  </conditionalFormatting>
  <conditionalFormatting sqref="L12">
    <cfRule type="expression" priority="39" dxfId="0">
      <formula>AND(ISNUMBER(G12),ABS(G12-(((C12-AVERAGE($C$3:$C$12))*(D12-AVERAGE($D$3:$D$12)))))&lt;=MAX(0.02*ABS(((C12-AVERAGE($C$3:$C$12))*(D12-AVERAGE($D$3:$D$12)))),0.05))</formula>
    </cfRule>
  </conditionalFormatting>
  <conditionalFormatting sqref="M12">
    <cfRule type="expression" priority="40" dxfId="0">
      <formula>AND(ISNUMBER(H12),ABS(H12-(((C12-AVERAGE($C$3:$C$12))^2)))&lt;=MAX(0.02*ABS(((C12-AVERAGE($C$3:$C$12))^2)),0.05))</formula>
    </cfRule>
  </conditionalFormatting>
  <conditionalFormatting sqref="F15">
    <cfRule type="expression" priority="41" dxfId="0">
      <formula>AND(ISNUMBER(E15),ABS(E15-(AVERAGE($C$3:$C$12)))&lt;=MAX(0.02*ABS(AVERAGE($C$3:$C$12)),0.01))</formula>
    </cfRule>
  </conditionalFormatting>
  <conditionalFormatting sqref="F16">
    <cfRule type="expression" priority="42" dxfId="0">
      <formula>AND(ISNUMBER(E16),ABS(E16-(AVERAGE($D$3:$D$12)))&lt;=MAX(0.02*ABS(AVERAGE($D$3:$D$12)),0.01))</formula>
    </cfRule>
  </conditionalFormatting>
  <conditionalFormatting sqref="F17">
    <cfRule type="expression" priority="43" dxfId="0">
      <formula>AND(ISNUMBER(E17),ABS(E17-(SUMPRODUCT($C$3:$C$12-AVERAGE($C$3:$C$12),$D$3:$D$12-AVERAGE($D$3:$D$12))))&lt;=MAX(0.02*ABS(SUMPRODUCT($C$3:$C$12-AVERAGE($C$3:$C$12),$D$3:$D$12-AVERAGE($D$3:$D$12))),0.5))</formula>
    </cfRule>
  </conditionalFormatting>
  <conditionalFormatting sqref="F18">
    <cfRule type="expression" priority="44" dxfId="0">
      <formula>AND(ISNUMBER(E18),ABS(E18-(DEVSQ($C$3:$C$12)))&lt;=MAX(0.02*ABS(DEVSQ($C$3:$C$12)),0.5))</formula>
    </cfRule>
  </conditionalFormatting>
  <conditionalFormatting sqref="F19">
    <cfRule type="expression" priority="45" dxfId="0">
      <formula>AND(ISNUMBER(E19),ABS(E19-(SLOPE($D$3:$D$12,$C$3:$C$12)))&lt;=MAX(0.02*ABS(SLOPE($D$3:$D$12,$C$3:$C$12)),0.005))</formula>
    </cfRule>
  </conditionalFormatting>
  <conditionalFormatting sqref="F20">
    <cfRule type="expression" priority="46" dxfId="0">
      <formula>AND(ISNUMBER(E20),ABS(E20-(INTERCEPT($D$3:$D$12,$C$3:$C$12)))&lt;=MAX(0.02*ABS(INTERCEPT($D$3:$D$12,$C$3:$C$12)),0.05))</formula>
    </cfRule>
  </conditionalFormatting>
  <conditionalFormatting sqref="F21">
    <cfRule type="expression" priority="47" dxfId="0">
      <formula>AND(ISNUMBER(E21),ABS(E21-(SLOPE($D$3:$D$12,$C$3:$C$12)))&lt;=MAX(0.02*ABS(SLOPE($D$3:$D$12,$C$3:$C$12)),0.005))</formula>
    </cfRule>
  </conditionalFormatting>
  <conditionalFormatting sqref="F22">
    <cfRule type="expression" priority="48" dxfId="0">
      <formula>AND(ISNUMBER(E22),ABS(E22-(INTERCEPT($D$3:$D$12,$C$3:$C$12)))&lt;=MAX(0.02*ABS(INTERCEPT($D$3:$D$12,$C$3:$C$12)),0.05))</formula>
    </cfRule>
  </conditionalFormatting>
  <conditionalFormatting sqref="F23">
    <cfRule type="expression" priority="49" dxfId="0">
      <formula>AND(ISNUMBER(E23),ABS(E23-(CORREL($C$3:$C$12,$D$3:$D$12)))&lt;=MAX(0.02*ABS(CORREL($C$3:$C$12,$D$3:$D$12)),0.005))</formula>
    </cfRule>
  </conditionalFormatting>
  <conditionalFormatting sqref="F24">
    <cfRule type="expression" priority="50" dxfId="0">
      <formula>AND(ISNUMBER(E24),ABS(E24-(RSQ($D$3:$D$12,$C$3:$C$12)))&lt;=MAX(0.02*ABS(RSQ($D$3:$D$12,$C$3:$C$12)),0.005))</formula>
    </cfRule>
  </conditionalFormatting>
  <conditionalFormatting sqref="F25">
    <cfRule type="expression" priority="51" dxfId="0">
      <formula>AND(ISNUMBER(E25),ABS(E25-((INTERCEPT($D$3:$D$12,$C$3:$C$12)+SLOPE($D$3:$D$12,$C$3:$C$12)*30)))&lt;=MAX(0.02*ABS((INTERCEPT($D$3:$D$12,$C$3:$C$12)+SLOPE($D$3:$D$12,$C$3:$C$12)*30)),0.05))</formula>
    </cfRule>
  </conditionalFormatting>
  <conditionalFormatting sqref="F26">
    <cfRule type="expression" priority="52" dxfId="0">
      <formula>AND(ISNUMBER(E26),ABS(E26-((D7-(INTERCEPT($D$3:$D$12,$C$3:$C$12)+SLOPE($D$3:$D$12,$C$3:$C$12)*C7))))&lt;=MAX(0.02*ABS((D7-(INTERCEPT($D$3:$D$12,$C$3:$C$12)+SLOPE($D$3:$D$12,$C$3:$C$12)*C7))),0.05))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48" customWidth="1" min="4" max="4"/>
    <col width="14" customWidth="1" min="5" max="5"/>
    <col width="12" customWidth="1" min="6" max="6"/>
    <col width="3" customWidth="1" min="7" max="7"/>
    <col width="7" customWidth="1" min="8" max="8"/>
    <col width="7" customWidth="1" min="9" max="9"/>
    <col width="7" customWidth="1" min="10" max="10"/>
  </cols>
  <sheetData>
    <row r="1">
      <c r="A1" s="1" t="inlineStr">
        <is>
          <t>The same ten team-games. Slope and intercept are given here so this sheet stands on its own; they match what the first sheet produces.</t>
        </is>
      </c>
    </row>
    <row r="2">
      <c r="A2" s="2" t="inlineStr">
        <is>
          <t>Team</t>
        </is>
      </c>
      <c r="B2" s="2" t="inlineStr">
        <is>
          <t>Rush attempts (x)</t>
        </is>
      </c>
      <c r="C2" s="2" t="inlineStr">
        <is>
          <t>Margin (y)</t>
        </is>
      </c>
      <c r="D2" s="2" t="inlineStr">
        <is>
          <t>Predicted margin</t>
        </is>
      </c>
      <c r="E2" s="2" t="inlineStr">
        <is>
          <t>Residual</t>
        </is>
      </c>
      <c r="F2" s="2" t="inlineStr">
        <is>
          <t>Residual squared</t>
        </is>
      </c>
      <c r="H2" s="3" t="inlineStr">
        <is>
          <t>Check</t>
        </is>
      </c>
      <c r="I2" s="3" t="inlineStr">
        <is>
          <t>Check</t>
        </is>
      </c>
      <c r="J2" s="3" t="inlineStr">
        <is>
          <t>Check</t>
        </is>
      </c>
    </row>
    <row r="3">
      <c r="A3" t="inlineStr">
        <is>
          <t>CAR</t>
        </is>
      </c>
      <c r="B3" t="n">
        <v>46</v>
      </c>
      <c r="C3" t="n">
        <v>6</v>
      </c>
      <c r="D3" s="4" t="n"/>
      <c r="E3" s="4" t="n"/>
      <c r="F3" s="4" t="n"/>
      <c r="H3" s="5" t="n"/>
      <c r="I3" s="5" t="n"/>
      <c r="J3" s="5" t="n"/>
    </row>
    <row r="4">
      <c r="A4" t="inlineStr">
        <is>
          <t>DAL</t>
        </is>
      </c>
      <c r="B4" t="n">
        <v>24</v>
      </c>
      <c r="C4" t="n">
        <v>4</v>
      </c>
      <c r="D4" s="4" t="n"/>
      <c r="E4" s="4" t="n"/>
      <c r="F4" s="4" t="n"/>
      <c r="H4" s="5" t="n"/>
      <c r="I4" s="5" t="n"/>
      <c r="J4" s="5" t="n"/>
    </row>
    <row r="5">
      <c r="A5" t="inlineStr">
        <is>
          <t>GB</t>
        </is>
      </c>
      <c r="B5" t="n">
        <v>33</v>
      </c>
      <c r="C5" t="n">
        <v>3</v>
      </c>
      <c r="D5" s="4" t="n"/>
      <c r="E5" s="4" t="n"/>
      <c r="F5" s="4" t="n"/>
      <c r="H5" s="5" t="n"/>
      <c r="I5" s="5" t="n"/>
      <c r="J5" s="5" t="n"/>
    </row>
    <row r="6">
      <c r="A6" t="inlineStr">
        <is>
          <t>LA</t>
        </is>
      </c>
      <c r="B6" t="n">
        <v>31</v>
      </c>
      <c r="C6" t="n">
        <v>16</v>
      </c>
      <c r="D6" s="4" t="n"/>
      <c r="E6" s="4" t="n"/>
      <c r="F6" s="4" t="n"/>
      <c r="H6" s="5" t="n"/>
      <c r="I6" s="5" t="n"/>
      <c r="J6" s="5" t="n"/>
    </row>
    <row r="7">
      <c r="A7" t="inlineStr">
        <is>
          <t>LAC</t>
        </is>
      </c>
      <c r="B7" t="n">
        <v>19</v>
      </c>
      <c r="C7" t="n">
        <v>-3</v>
      </c>
      <c r="D7" s="4" t="n"/>
      <c r="E7" s="4" t="n"/>
      <c r="F7" s="4" t="n"/>
      <c r="H7" s="5" t="n"/>
      <c r="I7" s="5" t="n"/>
      <c r="J7" s="5" t="n"/>
    </row>
    <row r="8">
      <c r="A8" t="inlineStr">
        <is>
          <t>MIA</t>
        </is>
      </c>
      <c r="B8" t="n">
        <v>23</v>
      </c>
      <c r="C8" t="n">
        <v>-15</v>
      </c>
      <c r="D8" s="4" t="n"/>
      <c r="E8" s="4" t="n"/>
      <c r="F8" s="4" t="n"/>
      <c r="H8" s="5" t="n"/>
      <c r="I8" s="5" t="n"/>
      <c r="J8" s="5" t="n"/>
    </row>
    <row r="9">
      <c r="A9" t="inlineStr">
        <is>
          <t>NYG</t>
        </is>
      </c>
      <c r="B9" t="n">
        <v>19</v>
      </c>
      <c r="C9" t="n">
        <v>-3</v>
      </c>
      <c r="D9" s="4" t="n"/>
      <c r="E9" s="4" t="n"/>
      <c r="F9" s="4" t="n"/>
      <c r="H9" s="5" t="n"/>
      <c r="I9" s="5" t="n"/>
      <c r="J9" s="5" t="n"/>
    </row>
    <row r="10">
      <c r="A10" t="inlineStr">
        <is>
          <t>NYJ</t>
        </is>
      </c>
      <c r="B10" t="n">
        <v>24</v>
      </c>
      <c r="C10" t="n">
        <v>3</v>
      </c>
      <c r="D10" s="4" t="n"/>
      <c r="E10" s="4" t="n"/>
      <c r="F10" s="4" t="n"/>
      <c r="H10" s="5" t="n"/>
      <c r="I10" s="5" t="n"/>
      <c r="J10" s="5" t="n"/>
    </row>
    <row r="11">
      <c r="A11" t="inlineStr">
        <is>
          <t>PHI</t>
        </is>
      </c>
      <c r="B11" t="n">
        <v>45</v>
      </c>
      <c r="C11" t="n">
        <v>38</v>
      </c>
      <c r="D11" s="4" t="n"/>
      <c r="E11" s="4" t="n"/>
      <c r="F11" s="4" t="n"/>
      <c r="H11" s="5" t="n"/>
      <c r="I11" s="5" t="n"/>
      <c r="J11" s="5" t="n"/>
    </row>
    <row r="12">
      <c r="A12" t="inlineStr">
        <is>
          <t>SEA</t>
        </is>
      </c>
      <c r="B12" t="n">
        <v>25</v>
      </c>
      <c r="C12" t="n">
        <v>24</v>
      </c>
      <c r="D12" s="4" t="n"/>
      <c r="E12" s="4" t="n"/>
      <c r="F12" s="4" t="n"/>
      <c r="H12" s="5" t="n"/>
      <c r="I12" s="5" t="n"/>
      <c r="J12" s="5" t="n"/>
    </row>
    <row r="14">
      <c r="E14" s="3" t="inlineStr">
        <is>
          <t>Your answer</t>
        </is>
      </c>
      <c r="F14" s="3" t="inlineStr">
        <is>
          <t>Check</t>
        </is>
      </c>
    </row>
    <row r="15">
      <c r="D15" s="2" t="inlineStr">
        <is>
          <t>Slope, SLOPE(y range, x range)</t>
        </is>
      </c>
      <c r="E15" s="6" t="n"/>
      <c r="F15" s="5" t="n"/>
    </row>
    <row r="16">
      <c r="D16" s="2" t="inlineStr">
        <is>
          <t>Intercept, INTERCEPT(y range, x range)</t>
        </is>
      </c>
      <c r="E16" s="6" t="n"/>
      <c r="F16" s="5" t="n"/>
    </row>
    <row r="17">
      <c r="D17" s="2" t="inlineStr">
        <is>
          <t>Sum of squared residuals</t>
        </is>
      </c>
      <c r="E17" s="6" t="n"/>
      <c r="F17" s="5" t="n"/>
    </row>
    <row r="18">
      <c r="D18" s="2" t="inlineStr">
        <is>
          <t>Residual standard error: SQRT of that sum divided by (n minus 2), n = 10</t>
        </is>
      </c>
      <c r="E18" s="6" t="n"/>
      <c r="F18" s="5" t="n"/>
    </row>
    <row r="19">
      <c r="D19" s="2" t="inlineStr">
        <is>
          <t>Check it with Excel, STEYX(y range, x range)</t>
        </is>
      </c>
      <c r="E19" s="6" t="n"/>
      <c r="F19" s="5" t="n"/>
    </row>
    <row r="20">
      <c r="D20" s="2" t="inlineStr">
        <is>
          <t>Standard error of the slope: residual standard error divided by SQRT of the sum of squared x deviations</t>
        </is>
      </c>
      <c r="E20" s="6" t="n"/>
      <c r="F20" s="5" t="n"/>
    </row>
    <row r="21">
      <c r="D21" s="2" t="inlineStr">
        <is>
          <t>t: slope divided by its standard error</t>
        </is>
      </c>
      <c r="E21" s="6" t="n"/>
      <c r="F21" s="5" t="n"/>
    </row>
    <row r="22">
      <c r="D22" s="2" t="inlineStr">
        <is>
          <t>p-value, two-sided: T.DIST.2T(ABS(t), n minus 2)</t>
        </is>
      </c>
      <c r="E22" s="6" t="n"/>
      <c r="F22" s="5" t="n"/>
    </row>
    <row r="23">
      <c r="D23" s="2" t="inlineStr">
        <is>
          <t>Lower end of the 95%% interval: slope minus T.INV.2T(0.05, n minus 2) times the standard error</t>
        </is>
      </c>
      <c r="E23" s="6" t="n"/>
      <c r="F23" s="5" t="n"/>
    </row>
    <row r="24">
      <c r="D24" s="2" t="inlineStr">
        <is>
          <t>Upper end of the 95%% interval</t>
        </is>
      </c>
      <c r="E24" s="6" t="n"/>
      <c r="F24" s="5" t="n"/>
    </row>
    <row r="25">
      <c r="D25" s="2" t="inlineStr">
        <is>
          <t>Standard error of the slope from Excel, INDEX(LINEST(y range, x range, TRUE, TRUE), 2, 1)</t>
        </is>
      </c>
      <c r="E25" s="6" t="n"/>
      <c r="F25" s="5" t="n"/>
    </row>
    <row r="26" ht="60" customHeight="1">
      <c r="D26" s="2" t="inlineStr">
        <is>
          <t>Would you tell a coach these ten games show that rushing more moves the margin? One sentence, and say which number above you leaned on.</t>
        </is>
      </c>
      <c r="E26" s="7" t="n"/>
    </row>
    <row r="28">
      <c r="A28" s="1" t="inlineStr">
        <is>
          <t>Every number here is one Excel prints when you run Data Analysis, Regression, or LINEST. Build each one yourself, then confirm the standard error against LINEST.</t>
        </is>
      </c>
    </row>
  </sheetData>
  <conditionalFormatting sqref="H3">
    <cfRule type="expression" priority="1" dxfId="0">
      <formula>AND(ISNUMBER(D3),ABS(D3-((INTERCEPT($C$3:$C$12,$B$3:$B$12)+SLOPE($C$3:$C$12,$B$3:$B$12)*B3)))&lt;=MAX(0.02*ABS((INTERCEPT($C$3:$C$12,$B$3:$B$12)+SLOPE($C$3:$C$12,$B$3:$B$12)*B3)),0.05))</formula>
    </cfRule>
  </conditionalFormatting>
  <conditionalFormatting sqref="I3">
    <cfRule type="expression" priority="2" dxfId="0">
      <formula>AND(ISNUMBER(E3),ABS(E3-((C3-(INTERCEPT($C$3:$C$12,$B$3:$B$12)+SLOPE($C$3:$C$12,$B$3:$B$12)*B3))))&lt;=MAX(0.02*ABS((C3-(INTERCEPT($C$3:$C$12,$B$3:$B$12)+SLOPE($C$3:$C$12,$B$3:$B$12)*B3))),0.05))</formula>
    </cfRule>
  </conditionalFormatting>
  <conditionalFormatting sqref="J3">
    <cfRule type="expression" priority="3" dxfId="0">
      <formula>AND(ISNUMBER(F3),ABS(F3-(((C3-(INTERCEPT($C$3:$C$12,$B$3:$B$12)+SLOPE($C$3:$C$12,$B$3:$B$12)*B3))^2)))&lt;=MAX(0.02*ABS(((C3-(INTERCEPT($C$3:$C$12,$B$3:$B$12)+SLOPE($C$3:$C$12,$B$3:$B$12)*B3))^2)),0.05))</formula>
    </cfRule>
  </conditionalFormatting>
  <conditionalFormatting sqref="H4">
    <cfRule type="expression" priority="4" dxfId="0">
      <formula>AND(ISNUMBER(D4),ABS(D4-((INTERCEPT($C$3:$C$12,$B$3:$B$12)+SLOPE($C$3:$C$12,$B$3:$B$12)*B4)))&lt;=MAX(0.02*ABS((INTERCEPT($C$3:$C$12,$B$3:$B$12)+SLOPE($C$3:$C$12,$B$3:$B$12)*B4)),0.05))</formula>
    </cfRule>
  </conditionalFormatting>
  <conditionalFormatting sqref="I4">
    <cfRule type="expression" priority="5" dxfId="0">
      <formula>AND(ISNUMBER(E4),ABS(E4-((C4-(INTERCEPT($C$3:$C$12,$B$3:$B$12)+SLOPE($C$3:$C$12,$B$3:$B$12)*B4))))&lt;=MAX(0.02*ABS((C4-(INTERCEPT($C$3:$C$12,$B$3:$B$12)+SLOPE($C$3:$C$12,$B$3:$B$12)*B4))),0.05))</formula>
    </cfRule>
  </conditionalFormatting>
  <conditionalFormatting sqref="J4">
    <cfRule type="expression" priority="6" dxfId="0">
      <formula>AND(ISNUMBER(F4),ABS(F4-(((C4-(INTERCEPT($C$3:$C$12,$B$3:$B$12)+SLOPE($C$3:$C$12,$B$3:$B$12)*B4))^2)))&lt;=MAX(0.02*ABS(((C4-(INTERCEPT($C$3:$C$12,$B$3:$B$12)+SLOPE($C$3:$C$12,$B$3:$B$12)*B4))^2)),0.05))</formula>
    </cfRule>
  </conditionalFormatting>
  <conditionalFormatting sqref="H5">
    <cfRule type="expression" priority="7" dxfId="0">
      <formula>AND(ISNUMBER(D5),ABS(D5-((INTERCEPT($C$3:$C$12,$B$3:$B$12)+SLOPE($C$3:$C$12,$B$3:$B$12)*B5)))&lt;=MAX(0.02*ABS((INTERCEPT($C$3:$C$12,$B$3:$B$12)+SLOPE($C$3:$C$12,$B$3:$B$12)*B5)),0.05))</formula>
    </cfRule>
  </conditionalFormatting>
  <conditionalFormatting sqref="I5">
    <cfRule type="expression" priority="8" dxfId="0">
      <formula>AND(ISNUMBER(E5),ABS(E5-((C5-(INTERCEPT($C$3:$C$12,$B$3:$B$12)+SLOPE($C$3:$C$12,$B$3:$B$12)*B5))))&lt;=MAX(0.02*ABS((C5-(INTERCEPT($C$3:$C$12,$B$3:$B$12)+SLOPE($C$3:$C$12,$B$3:$B$12)*B5))),0.05))</formula>
    </cfRule>
  </conditionalFormatting>
  <conditionalFormatting sqref="J5">
    <cfRule type="expression" priority="9" dxfId="0">
      <formula>AND(ISNUMBER(F5),ABS(F5-(((C5-(INTERCEPT($C$3:$C$12,$B$3:$B$12)+SLOPE($C$3:$C$12,$B$3:$B$12)*B5))^2)))&lt;=MAX(0.02*ABS(((C5-(INTERCEPT($C$3:$C$12,$B$3:$B$12)+SLOPE($C$3:$C$12,$B$3:$B$12)*B5))^2)),0.05))</formula>
    </cfRule>
  </conditionalFormatting>
  <conditionalFormatting sqref="H6">
    <cfRule type="expression" priority="10" dxfId="0">
      <formula>AND(ISNUMBER(D6),ABS(D6-((INTERCEPT($C$3:$C$12,$B$3:$B$12)+SLOPE($C$3:$C$12,$B$3:$B$12)*B6)))&lt;=MAX(0.02*ABS((INTERCEPT($C$3:$C$12,$B$3:$B$12)+SLOPE($C$3:$C$12,$B$3:$B$12)*B6)),0.05))</formula>
    </cfRule>
  </conditionalFormatting>
  <conditionalFormatting sqref="I6">
    <cfRule type="expression" priority="11" dxfId="0">
      <formula>AND(ISNUMBER(E6),ABS(E6-((C6-(INTERCEPT($C$3:$C$12,$B$3:$B$12)+SLOPE($C$3:$C$12,$B$3:$B$12)*B6))))&lt;=MAX(0.02*ABS((C6-(INTERCEPT($C$3:$C$12,$B$3:$B$12)+SLOPE($C$3:$C$12,$B$3:$B$12)*B6))),0.05))</formula>
    </cfRule>
  </conditionalFormatting>
  <conditionalFormatting sqref="J6">
    <cfRule type="expression" priority="12" dxfId="0">
      <formula>AND(ISNUMBER(F6),ABS(F6-(((C6-(INTERCEPT($C$3:$C$12,$B$3:$B$12)+SLOPE($C$3:$C$12,$B$3:$B$12)*B6))^2)))&lt;=MAX(0.02*ABS(((C6-(INTERCEPT($C$3:$C$12,$B$3:$B$12)+SLOPE($C$3:$C$12,$B$3:$B$12)*B6))^2)),0.05))</formula>
    </cfRule>
  </conditionalFormatting>
  <conditionalFormatting sqref="H7">
    <cfRule type="expression" priority="13" dxfId="0">
      <formula>AND(ISNUMBER(D7),ABS(D7-((INTERCEPT($C$3:$C$12,$B$3:$B$12)+SLOPE($C$3:$C$12,$B$3:$B$12)*B7)))&lt;=MAX(0.02*ABS((INTERCEPT($C$3:$C$12,$B$3:$B$12)+SLOPE($C$3:$C$12,$B$3:$B$12)*B7)),0.05))</formula>
    </cfRule>
  </conditionalFormatting>
  <conditionalFormatting sqref="I7">
    <cfRule type="expression" priority="14" dxfId="0">
      <formula>AND(ISNUMBER(E7),ABS(E7-((C7-(INTERCEPT($C$3:$C$12,$B$3:$B$12)+SLOPE($C$3:$C$12,$B$3:$B$12)*B7))))&lt;=MAX(0.02*ABS((C7-(INTERCEPT($C$3:$C$12,$B$3:$B$12)+SLOPE($C$3:$C$12,$B$3:$B$12)*B7))),0.05))</formula>
    </cfRule>
  </conditionalFormatting>
  <conditionalFormatting sqref="J7">
    <cfRule type="expression" priority="15" dxfId="0">
      <formula>AND(ISNUMBER(F7),ABS(F7-(((C7-(INTERCEPT($C$3:$C$12,$B$3:$B$12)+SLOPE($C$3:$C$12,$B$3:$B$12)*B7))^2)))&lt;=MAX(0.02*ABS(((C7-(INTERCEPT($C$3:$C$12,$B$3:$B$12)+SLOPE($C$3:$C$12,$B$3:$B$12)*B7))^2)),0.05))</formula>
    </cfRule>
  </conditionalFormatting>
  <conditionalFormatting sqref="H8">
    <cfRule type="expression" priority="16" dxfId="0">
      <formula>AND(ISNUMBER(D8),ABS(D8-((INTERCEPT($C$3:$C$12,$B$3:$B$12)+SLOPE($C$3:$C$12,$B$3:$B$12)*B8)))&lt;=MAX(0.02*ABS((INTERCEPT($C$3:$C$12,$B$3:$B$12)+SLOPE($C$3:$C$12,$B$3:$B$12)*B8)),0.05))</formula>
    </cfRule>
  </conditionalFormatting>
  <conditionalFormatting sqref="I8">
    <cfRule type="expression" priority="17" dxfId="0">
      <formula>AND(ISNUMBER(E8),ABS(E8-((C8-(INTERCEPT($C$3:$C$12,$B$3:$B$12)+SLOPE($C$3:$C$12,$B$3:$B$12)*B8))))&lt;=MAX(0.02*ABS((C8-(INTERCEPT($C$3:$C$12,$B$3:$B$12)+SLOPE($C$3:$C$12,$B$3:$B$12)*B8))),0.05))</formula>
    </cfRule>
  </conditionalFormatting>
  <conditionalFormatting sqref="J8">
    <cfRule type="expression" priority="18" dxfId="0">
      <formula>AND(ISNUMBER(F8),ABS(F8-(((C8-(INTERCEPT($C$3:$C$12,$B$3:$B$12)+SLOPE($C$3:$C$12,$B$3:$B$12)*B8))^2)))&lt;=MAX(0.02*ABS(((C8-(INTERCEPT($C$3:$C$12,$B$3:$B$12)+SLOPE($C$3:$C$12,$B$3:$B$12)*B8))^2)),0.05))</formula>
    </cfRule>
  </conditionalFormatting>
  <conditionalFormatting sqref="H9">
    <cfRule type="expression" priority="19" dxfId="0">
      <formula>AND(ISNUMBER(D9),ABS(D9-((INTERCEPT($C$3:$C$12,$B$3:$B$12)+SLOPE($C$3:$C$12,$B$3:$B$12)*B9)))&lt;=MAX(0.02*ABS((INTERCEPT($C$3:$C$12,$B$3:$B$12)+SLOPE($C$3:$C$12,$B$3:$B$12)*B9)),0.05))</formula>
    </cfRule>
  </conditionalFormatting>
  <conditionalFormatting sqref="I9">
    <cfRule type="expression" priority="20" dxfId="0">
      <formula>AND(ISNUMBER(E9),ABS(E9-((C9-(INTERCEPT($C$3:$C$12,$B$3:$B$12)+SLOPE($C$3:$C$12,$B$3:$B$12)*B9))))&lt;=MAX(0.02*ABS((C9-(INTERCEPT($C$3:$C$12,$B$3:$B$12)+SLOPE($C$3:$C$12,$B$3:$B$12)*B9))),0.05))</formula>
    </cfRule>
  </conditionalFormatting>
  <conditionalFormatting sqref="J9">
    <cfRule type="expression" priority="21" dxfId="0">
      <formula>AND(ISNUMBER(F9),ABS(F9-(((C9-(INTERCEPT($C$3:$C$12,$B$3:$B$12)+SLOPE($C$3:$C$12,$B$3:$B$12)*B9))^2)))&lt;=MAX(0.02*ABS(((C9-(INTERCEPT($C$3:$C$12,$B$3:$B$12)+SLOPE($C$3:$C$12,$B$3:$B$12)*B9))^2)),0.05))</formula>
    </cfRule>
  </conditionalFormatting>
  <conditionalFormatting sqref="H10">
    <cfRule type="expression" priority="22" dxfId="0">
      <formula>AND(ISNUMBER(D10),ABS(D10-((INTERCEPT($C$3:$C$12,$B$3:$B$12)+SLOPE($C$3:$C$12,$B$3:$B$12)*B10)))&lt;=MAX(0.02*ABS((INTERCEPT($C$3:$C$12,$B$3:$B$12)+SLOPE($C$3:$C$12,$B$3:$B$12)*B10)),0.05))</formula>
    </cfRule>
  </conditionalFormatting>
  <conditionalFormatting sqref="I10">
    <cfRule type="expression" priority="23" dxfId="0">
      <formula>AND(ISNUMBER(E10),ABS(E10-((C10-(INTERCEPT($C$3:$C$12,$B$3:$B$12)+SLOPE($C$3:$C$12,$B$3:$B$12)*B10))))&lt;=MAX(0.02*ABS((C10-(INTERCEPT($C$3:$C$12,$B$3:$B$12)+SLOPE($C$3:$C$12,$B$3:$B$12)*B10))),0.05))</formula>
    </cfRule>
  </conditionalFormatting>
  <conditionalFormatting sqref="J10">
    <cfRule type="expression" priority="24" dxfId="0">
      <formula>AND(ISNUMBER(F10),ABS(F10-(((C10-(INTERCEPT($C$3:$C$12,$B$3:$B$12)+SLOPE($C$3:$C$12,$B$3:$B$12)*B10))^2)))&lt;=MAX(0.02*ABS(((C10-(INTERCEPT($C$3:$C$12,$B$3:$B$12)+SLOPE($C$3:$C$12,$B$3:$B$12)*B10))^2)),0.05))</formula>
    </cfRule>
  </conditionalFormatting>
  <conditionalFormatting sqref="H11">
    <cfRule type="expression" priority="25" dxfId="0">
      <formula>AND(ISNUMBER(D11),ABS(D11-((INTERCEPT($C$3:$C$12,$B$3:$B$12)+SLOPE($C$3:$C$12,$B$3:$B$12)*B11)))&lt;=MAX(0.02*ABS((INTERCEPT($C$3:$C$12,$B$3:$B$12)+SLOPE($C$3:$C$12,$B$3:$B$12)*B11)),0.05))</formula>
    </cfRule>
  </conditionalFormatting>
  <conditionalFormatting sqref="I11">
    <cfRule type="expression" priority="26" dxfId="0">
      <formula>AND(ISNUMBER(E11),ABS(E11-((C11-(INTERCEPT($C$3:$C$12,$B$3:$B$12)+SLOPE($C$3:$C$12,$B$3:$B$12)*B11))))&lt;=MAX(0.02*ABS((C11-(INTERCEPT($C$3:$C$12,$B$3:$B$12)+SLOPE($C$3:$C$12,$B$3:$B$12)*B11))),0.05))</formula>
    </cfRule>
  </conditionalFormatting>
  <conditionalFormatting sqref="J11">
    <cfRule type="expression" priority="27" dxfId="0">
      <formula>AND(ISNUMBER(F11),ABS(F11-(((C11-(INTERCEPT($C$3:$C$12,$B$3:$B$12)+SLOPE($C$3:$C$12,$B$3:$B$12)*B11))^2)))&lt;=MAX(0.02*ABS(((C11-(INTERCEPT($C$3:$C$12,$B$3:$B$12)+SLOPE($C$3:$C$12,$B$3:$B$12)*B11))^2)),0.05))</formula>
    </cfRule>
  </conditionalFormatting>
  <conditionalFormatting sqref="H12">
    <cfRule type="expression" priority="28" dxfId="0">
      <formula>AND(ISNUMBER(D12),ABS(D12-((INTERCEPT($C$3:$C$12,$B$3:$B$12)+SLOPE($C$3:$C$12,$B$3:$B$12)*B12)))&lt;=MAX(0.02*ABS((INTERCEPT($C$3:$C$12,$B$3:$B$12)+SLOPE($C$3:$C$12,$B$3:$B$12)*B12)),0.05))</formula>
    </cfRule>
  </conditionalFormatting>
  <conditionalFormatting sqref="I12">
    <cfRule type="expression" priority="29" dxfId="0">
      <formula>AND(ISNUMBER(E12),ABS(E12-((C12-(INTERCEPT($C$3:$C$12,$B$3:$B$12)+SLOPE($C$3:$C$12,$B$3:$B$12)*B12))))&lt;=MAX(0.02*ABS((C12-(INTERCEPT($C$3:$C$12,$B$3:$B$12)+SLOPE($C$3:$C$12,$B$3:$B$12)*B12))),0.05))</formula>
    </cfRule>
  </conditionalFormatting>
  <conditionalFormatting sqref="J12">
    <cfRule type="expression" priority="30" dxfId="0">
      <formula>AND(ISNUMBER(F12),ABS(F12-(((C12-(INTERCEPT($C$3:$C$12,$B$3:$B$12)+SLOPE($C$3:$C$12,$B$3:$B$12)*B12))^2)))&lt;=MAX(0.02*ABS(((C12-(INTERCEPT($C$3:$C$12,$B$3:$B$12)+SLOPE($C$3:$C$12,$B$3:$B$12)*B12))^2)),0.05))</formula>
    </cfRule>
  </conditionalFormatting>
  <conditionalFormatting sqref="F15">
    <cfRule type="expression" priority="31" dxfId="0">
      <formula>AND(ISNUMBER(E15),ABS(E15-(SLOPE($C$3:$C$12,$B$3:$B$12)))&lt;=MAX(0.02*ABS(SLOPE($C$3:$C$12,$B$3:$B$12)),0.005))</formula>
    </cfRule>
  </conditionalFormatting>
  <conditionalFormatting sqref="F16">
    <cfRule type="expression" priority="32" dxfId="0">
      <formula>AND(ISNUMBER(E16),ABS(E16-(INTERCEPT($C$3:$C$12,$B$3:$B$12)))&lt;=MAX(0.02*ABS(INTERCEPT($C$3:$C$12,$B$3:$B$12)),0.05))</formula>
    </cfRule>
  </conditionalFormatting>
  <conditionalFormatting sqref="F17">
    <cfRule type="expression" priority="33" dxfId="0">
      <formula>AND(ISNUMBER(E17),ABS(E17-((DEVSQ($C$3:$C$12)-SLOPE($C$3:$C$12,$B$3:$B$12)^2*DEVSQ($B$3:$B$12))))&lt;=MAX(0.02*ABS((DEVSQ($C$3:$C$12)-SLOPE($C$3:$C$12,$B$3:$B$12)^2*DEVSQ($B$3:$B$12))),1.0))</formula>
    </cfRule>
  </conditionalFormatting>
  <conditionalFormatting sqref="F18">
    <cfRule type="expression" priority="34" dxfId="0">
      <formula>AND(ISNUMBER(E18),ABS(E18-(STEYX($C$3:$C$12,$B$3:$B$12)))&lt;=MAX(0.02*ABS(STEYX($C$3:$C$12,$B$3:$B$12)),0.05))</formula>
    </cfRule>
  </conditionalFormatting>
  <conditionalFormatting sqref="F19">
    <cfRule type="expression" priority="35" dxfId="0">
      <formula>AND(ISNUMBER(E19),ABS(E19-(STEYX($C$3:$C$12,$B$3:$B$12)))&lt;=MAX(0.02*ABS(STEYX($C$3:$C$12,$B$3:$B$12)),0.05))</formula>
    </cfRule>
  </conditionalFormatting>
  <conditionalFormatting sqref="F20">
    <cfRule type="expression" priority="36" dxfId="0">
      <formula>AND(ISNUMBER(E20),ABS(E20-((STEYX($C$3:$C$12,$B$3:$B$12)/SQRT(DEVSQ($B$3:$B$12)))))&lt;=MAX(0.02*ABS((STEYX($C$3:$C$12,$B$3:$B$12)/SQRT(DEVSQ($B$3:$B$12)))),0.005))</formula>
    </cfRule>
  </conditionalFormatting>
  <conditionalFormatting sqref="F21">
    <cfRule type="expression" priority="37" dxfId="0">
      <formula>AND(ISNUMBER(E21),ABS(E21-((SLOPE($C$3:$C$12,$B$3:$B$12)/(STEYX($C$3:$C$12,$B$3:$B$12)/SQRT(DEVSQ($B$3:$B$12))))))&lt;=MAX(0.02*ABS((SLOPE($C$3:$C$12,$B$3:$B$12)/(STEYX($C$3:$C$12,$B$3:$B$12)/SQRT(DEVSQ($B$3:$B$12))))),0.01))</formula>
    </cfRule>
  </conditionalFormatting>
  <conditionalFormatting sqref="F22">
    <cfRule type="expression" priority="38" dxfId="0">
      <formula>AND(ISNUMBER(E22),ABS(E22-(_xlfn.T.DIST.2T(ABS((SLOPE($C$3:$C$12,$B$3:$B$12)/(STEYX($C$3:$C$12,$B$3:$B$12)/SQRT(DEVSQ($B$3:$B$12))))),8)))&lt;=MAX(0.02*ABS(_xlfn.T.DIST.2T(ABS((SLOPE($C$3:$C$12,$B$3:$B$12)/(STEYX($C$3:$C$12,$B$3:$B$12)/SQRT(DEVSQ($B$3:$B$12))))),8)),0.005))</formula>
    </cfRule>
  </conditionalFormatting>
  <conditionalFormatting sqref="F23">
    <cfRule type="expression" priority="39" dxfId="0">
      <formula>AND(ISNUMBER(E23),ABS(E23-((SLOPE($C$3:$C$12,$B$3:$B$12)-_xlfn.T.INV.2T(0.05,8)*(STEYX($C$3:$C$12,$B$3:$B$12)/SQRT(DEVSQ($B$3:$B$12))))))&lt;=MAX(0.02*ABS((SLOPE($C$3:$C$12,$B$3:$B$12)-_xlfn.T.INV.2T(0.05,8)*(STEYX($C$3:$C$12,$B$3:$B$12)/SQRT(DEVSQ($B$3:$B$12))))),0.01))</formula>
    </cfRule>
  </conditionalFormatting>
  <conditionalFormatting sqref="F24">
    <cfRule type="expression" priority="40" dxfId="0">
      <formula>AND(ISNUMBER(E24),ABS(E24-((SLOPE($C$3:$C$12,$B$3:$B$12)+_xlfn.T.INV.2T(0.05,8)*(STEYX($C$3:$C$12,$B$3:$B$12)/SQRT(DEVSQ($B$3:$B$12))))))&lt;=MAX(0.02*ABS((SLOPE($C$3:$C$12,$B$3:$B$12)+_xlfn.T.INV.2T(0.05,8)*(STEYX($C$3:$C$12,$B$3:$B$12)/SQRT(DEVSQ($B$3:$B$12))))),0.01))</formula>
    </cfRule>
  </conditionalFormatting>
  <conditionalFormatting sqref="F25">
    <cfRule type="expression" priority="41" dxfId="0">
      <formula>AND(ISNUMBER(E25),ABS(E25-((STEYX($C$3:$C$12,$B$3:$B$12)/SQRT(DEVSQ($B$3:$B$12)))))&lt;=MAX(0.02*ABS((STEYX($C$3:$C$12,$B$3:$B$12)/SQRT(DEVSQ($B$3:$B$12)))),0.005))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3" customWidth="1" min="5" max="5"/>
    <col width="60" customWidth="1" min="6" max="6"/>
    <col width="14" customWidth="1" min="7" max="7"/>
    <col width="7" customWidth="1" min="8" max="8"/>
  </cols>
  <sheetData>
    <row r="1">
      <c r="A1" s="1" t="inlineStr">
        <is>
          <t>All 30 MLB teams, 2024 regular season. Runs per game, on-base percentage and slugging percentage, from the MLB Stats API.</t>
        </is>
      </c>
    </row>
    <row r="2">
      <c r="A2" s="3" t="inlineStr">
        <is>
          <t>Team</t>
        </is>
      </c>
      <c r="B2" s="3" t="inlineStr">
        <is>
          <t>OBP</t>
        </is>
      </c>
      <c r="C2" s="3" t="inlineStr">
        <is>
          <t>SLG</t>
        </is>
      </c>
      <c r="D2" s="3" t="inlineStr">
        <is>
          <t>Runs per game</t>
        </is>
      </c>
      <c r="G2" s="3" t="inlineStr">
        <is>
          <t>Your answer</t>
        </is>
      </c>
      <c r="H2" s="3" t="inlineStr">
        <is>
          <t>Check</t>
        </is>
      </c>
    </row>
    <row r="3" ht="32" customHeight="1">
      <c r="A3" t="inlineStr">
        <is>
          <t>Arizona Diamondbacks</t>
        </is>
      </c>
      <c r="B3" s="8" t="n">
        <v>0.337</v>
      </c>
      <c r="C3" s="8" t="n">
        <v>0.44</v>
      </c>
      <c r="D3" s="8" t="n">
        <v>5.469</v>
      </c>
      <c r="F3" s="2" t="inlineStr">
        <is>
          <t>Coefficient on OBP: INDEX(LINEST(y range, both x columns, TRUE, TRUE), 1, 2). LINEST lists the x coefficients in reverse column order.</t>
        </is>
      </c>
      <c r="G3" s="9" t="n"/>
      <c r="H3" s="5" t="n"/>
    </row>
    <row r="4" ht="32" customHeight="1">
      <c r="A4" t="inlineStr">
        <is>
          <t>Atlanta Braves</t>
        </is>
      </c>
      <c r="B4" s="8" t="n">
        <v>0.309</v>
      </c>
      <c r="C4" s="8" t="n">
        <v>0.415</v>
      </c>
      <c r="D4" s="8" t="n">
        <v>4.346</v>
      </c>
      <c r="F4" s="2" t="inlineStr">
        <is>
          <t>Coefficient on SLG: INDEX(LINEST(...), 1, 1)</t>
        </is>
      </c>
      <c r="G4" s="9" t="n"/>
      <c r="H4" s="5" t="n"/>
    </row>
    <row r="5" ht="32" customHeight="1">
      <c r="A5" t="inlineStr">
        <is>
          <t>Baltimore Orioles</t>
        </is>
      </c>
      <c r="B5" s="8" t="n">
        <v>0.315</v>
      </c>
      <c r="C5" s="8" t="n">
        <v>0.435</v>
      </c>
      <c r="D5" s="8" t="n">
        <v>4.852</v>
      </c>
      <c r="F5" s="2" t="inlineStr">
        <is>
          <t>Intercept: INDEX(LINEST(...), 1, 3)</t>
        </is>
      </c>
      <c r="G5" s="9" t="n"/>
      <c r="H5" s="5" t="n"/>
    </row>
    <row r="6" ht="32" customHeight="1">
      <c r="A6" t="inlineStr">
        <is>
          <t>Boston Red Sox</t>
        </is>
      </c>
      <c r="B6" s="8" t="n">
        <v>0.319</v>
      </c>
      <c r="C6" s="8" t="n">
        <v>0.423</v>
      </c>
      <c r="D6" s="8" t="n">
        <v>4.636</v>
      </c>
      <c r="F6" s="2" t="inlineStr">
        <is>
          <t>Standard error of the OBP coefficient: INDEX(LINEST(...), 2, 2)</t>
        </is>
      </c>
      <c r="G6" s="9" t="n"/>
      <c r="H6" s="5" t="n"/>
    </row>
    <row r="7" ht="32" customHeight="1">
      <c r="A7" t="inlineStr">
        <is>
          <t>Chicago Cubs</t>
        </is>
      </c>
      <c r="B7" s="8" t="n">
        <v>0.317</v>
      </c>
      <c r="C7" s="8" t="n">
        <v>0.393</v>
      </c>
      <c r="D7" s="8" t="n">
        <v>4.543</v>
      </c>
      <c r="F7" s="2" t="inlineStr">
        <is>
          <t>Standard error of the SLG coefficient: INDEX(LINEST(...), 2, 1)</t>
        </is>
      </c>
      <c r="G7" s="9" t="n"/>
      <c r="H7" s="5" t="n"/>
    </row>
    <row r="8" ht="32" customHeight="1">
      <c r="A8" t="inlineStr">
        <is>
          <t>Chicago White Sox</t>
        </is>
      </c>
      <c r="B8" s="8" t="n">
        <v>0.278</v>
      </c>
      <c r="C8" s="8" t="n">
        <v>0.34</v>
      </c>
      <c r="D8" s="8" t="n">
        <v>3.13</v>
      </c>
      <c r="F8" s="2" t="inlineStr">
        <is>
          <t>t for OBP: coefficient divided by its standard error</t>
        </is>
      </c>
      <c r="G8" s="9" t="n"/>
      <c r="H8" s="5" t="n"/>
    </row>
    <row r="9" ht="32" customHeight="1">
      <c r="A9" t="inlineStr">
        <is>
          <t>Cincinnati Reds</t>
        </is>
      </c>
      <c r="B9" s="8" t="n">
        <v>0.305</v>
      </c>
      <c r="C9" s="8" t="n">
        <v>0.388</v>
      </c>
      <c r="D9" s="8" t="n">
        <v>4.315</v>
      </c>
      <c r="F9" s="2" t="inlineStr">
        <is>
          <t>t for SLG</t>
        </is>
      </c>
      <c r="G9" s="9" t="n"/>
      <c r="H9" s="5" t="n"/>
    </row>
    <row r="10" ht="32" customHeight="1">
      <c r="A10" t="inlineStr">
        <is>
          <t>Cleveland Guardians</t>
        </is>
      </c>
      <c r="B10" s="8" t="n">
        <v>0.307</v>
      </c>
      <c r="C10" s="8" t="n">
        <v>0.395</v>
      </c>
      <c r="D10" s="8" t="n">
        <v>4.398</v>
      </c>
      <c r="F10" s="2" t="inlineStr">
        <is>
          <t>p-value for OBP: T.DIST.2T(ABS(t), n minus 3), n = 30</t>
        </is>
      </c>
      <c r="G10" s="9" t="n"/>
      <c r="H10" s="5" t="n"/>
    </row>
    <row r="11" ht="32" customHeight="1">
      <c r="A11" t="inlineStr">
        <is>
          <t>Colorado Rockies</t>
        </is>
      </c>
      <c r="B11" s="8" t="n">
        <v>0.304</v>
      </c>
      <c r="C11" s="8" t="n">
        <v>0.4</v>
      </c>
      <c r="D11" s="8" t="n">
        <v>4.21</v>
      </c>
      <c r="F11" s="2" t="inlineStr">
        <is>
          <t>p-value for SLG</t>
        </is>
      </c>
      <c r="G11" s="9" t="n"/>
      <c r="H11" s="5" t="n"/>
    </row>
    <row r="12" ht="32" customHeight="1">
      <c r="A12" t="inlineStr">
        <is>
          <t>Detroit Tigers</t>
        </is>
      </c>
      <c r="B12" s="8" t="n">
        <v>0.3</v>
      </c>
      <c r="C12" s="8" t="n">
        <v>0.385</v>
      </c>
      <c r="D12" s="8" t="n">
        <v>4.21</v>
      </c>
      <c r="F12" s="2" t="inlineStr">
        <is>
          <t>R squared: INDEX(LINEST(...), 3, 1)</t>
        </is>
      </c>
      <c r="G12" s="9" t="n"/>
      <c r="H12" s="5" t="n"/>
    </row>
    <row r="13" ht="32" customHeight="1">
      <c r="A13" t="inlineStr">
        <is>
          <t>Houston Astros</t>
        </is>
      </c>
      <c r="B13" s="8" t="n">
        <v>0.322</v>
      </c>
      <c r="C13" s="8" t="n">
        <v>0.418</v>
      </c>
      <c r="D13" s="8" t="n">
        <v>4.596</v>
      </c>
      <c r="F13" s="2" t="inlineStr">
        <is>
          <t>Standard deviation of OBP across the 30 teams, STDEV.S</t>
        </is>
      </c>
      <c r="G13" s="9" t="n"/>
      <c r="H13" s="5" t="n"/>
    </row>
    <row r="14" ht="32" customHeight="1">
      <c r="A14" t="inlineStr">
        <is>
          <t>Kansas City Royals</t>
        </is>
      </c>
      <c r="B14" s="8" t="n">
        <v>0.306</v>
      </c>
      <c r="C14" s="8" t="n">
        <v>0.403</v>
      </c>
      <c r="D14" s="8" t="n">
        <v>4.537</v>
      </c>
      <c r="F14" s="2" t="inlineStr">
        <is>
          <t>Standard deviation of SLG, STDEV.S</t>
        </is>
      </c>
      <c r="G14" s="9" t="n"/>
      <c r="H14" s="5" t="n"/>
    </row>
    <row r="15" ht="32" customHeight="1">
      <c r="A15" t="inlineStr">
        <is>
          <t>Los Angeles Angels</t>
        </is>
      </c>
      <c r="B15" s="8" t="n">
        <v>0.301</v>
      </c>
      <c r="C15" s="8" t="n">
        <v>0.369</v>
      </c>
      <c r="D15" s="8" t="n">
        <v>3.92</v>
      </c>
      <c r="F15" s="2" t="inlineStr">
        <is>
          <t>Runs per game from one standard deviation of OBP: coefficient times that standard deviation</t>
        </is>
      </c>
      <c r="G15" s="9" t="n"/>
      <c r="H15" s="5" t="n"/>
    </row>
    <row r="16" ht="32" customHeight="1">
      <c r="A16" t="inlineStr">
        <is>
          <t>Los Angeles Dodgers</t>
        </is>
      </c>
      <c r="B16" s="8" t="n">
        <v>0.335</v>
      </c>
      <c r="C16" s="8" t="n">
        <v>0.446</v>
      </c>
      <c r="D16" s="8" t="n">
        <v>5.198</v>
      </c>
      <c r="F16" s="2" t="inlineStr">
        <is>
          <t>Runs per game from one standard deviation of SLG</t>
        </is>
      </c>
      <c r="G16" s="9" t="n"/>
      <c r="H16" s="5" t="n"/>
    </row>
    <row r="17" ht="75" customHeight="1">
      <c r="A17" t="inlineStr">
        <is>
          <t>Miami Marlins</t>
        </is>
      </c>
      <c r="B17" s="8" t="n">
        <v>0.3</v>
      </c>
      <c r="C17" s="8" t="n">
        <v>0.378</v>
      </c>
      <c r="D17" s="8" t="n">
        <v>3.932</v>
      </c>
      <c r="F17" s="2" t="inlineStr">
        <is>
          <t>The OBP coefficient is about twice the SLG coefficient. Which of the two matters more to a team's runs, and what is the case for each answer? Two sentences.</t>
        </is>
      </c>
      <c r="G17" s="10" t="n"/>
    </row>
    <row r="18">
      <c r="A18" t="inlineStr">
        <is>
          <t>Milwaukee Brewers</t>
        </is>
      </c>
      <c r="B18" s="8" t="n">
        <v>0.326</v>
      </c>
      <c r="C18" s="8" t="n">
        <v>0.403</v>
      </c>
      <c r="D18" s="8" t="n">
        <v>4.796</v>
      </c>
    </row>
    <row r="19">
      <c r="A19" t="inlineStr">
        <is>
          <t>Minnesota Twins</t>
        </is>
      </c>
      <c r="B19" s="8" t="n">
        <v>0.315</v>
      </c>
      <c r="C19" s="8" t="n">
        <v>0.411</v>
      </c>
      <c r="D19" s="8" t="n">
        <v>4.58</v>
      </c>
    </row>
    <row r="20">
      <c r="A20" t="inlineStr">
        <is>
          <t>New York Mets</t>
        </is>
      </c>
      <c r="B20" s="8" t="n">
        <v>0.319</v>
      </c>
      <c r="C20" s="8" t="n">
        <v>0.415</v>
      </c>
      <c r="D20" s="8" t="n">
        <v>4.741</v>
      </c>
    </row>
    <row r="21">
      <c r="A21" t="inlineStr">
        <is>
          <t>New York Yankees</t>
        </is>
      </c>
      <c r="B21" s="8" t="n">
        <v>0.333</v>
      </c>
      <c r="C21" s="8" t="n">
        <v>0.429</v>
      </c>
      <c r="D21" s="8" t="n">
        <v>5.031</v>
      </c>
    </row>
    <row r="22">
      <c r="A22" t="inlineStr">
        <is>
          <t>Oakland Athletics</t>
        </is>
      </c>
      <c r="B22" s="8" t="n">
        <v>0.301</v>
      </c>
      <c r="C22" s="8" t="n">
        <v>0.393</v>
      </c>
      <c r="D22" s="8" t="n">
        <v>3.969</v>
      </c>
    </row>
    <row r="23">
      <c r="A23" t="inlineStr">
        <is>
          <t>Philadelphia Phillies</t>
        </is>
      </c>
      <c r="B23" s="8" t="n">
        <v>0.325</v>
      </c>
      <c r="C23" s="8" t="n">
        <v>0.425</v>
      </c>
      <c r="D23" s="8" t="n">
        <v>4.84</v>
      </c>
    </row>
    <row r="24">
      <c r="A24" t="inlineStr">
        <is>
          <t>Pittsburgh Pirates</t>
        </is>
      </c>
      <c r="B24" s="8" t="n">
        <v>0.301</v>
      </c>
      <c r="C24" s="8" t="n">
        <v>0.371</v>
      </c>
      <c r="D24" s="8" t="n">
        <v>4.105</v>
      </c>
    </row>
    <row r="25">
      <c r="A25" t="inlineStr">
        <is>
          <t>San Diego Padres</t>
        </is>
      </c>
      <c r="B25" s="8" t="n">
        <v>0.324</v>
      </c>
      <c r="C25" s="8" t="n">
        <v>0.42</v>
      </c>
      <c r="D25" s="8" t="n">
        <v>4.691</v>
      </c>
    </row>
    <row r="26">
      <c r="A26" t="inlineStr">
        <is>
          <t>San Francisco Giants</t>
        </is>
      </c>
      <c r="B26" s="8" t="n">
        <v>0.305</v>
      </c>
      <c r="C26" s="8" t="n">
        <v>0.396</v>
      </c>
      <c r="D26" s="8" t="n">
        <v>4.278</v>
      </c>
    </row>
    <row r="27">
      <c r="A27" t="inlineStr">
        <is>
          <t>Seattle Mariners</t>
        </is>
      </c>
      <c r="B27" s="8" t="n">
        <v>0.311</v>
      </c>
      <c r="C27" s="8" t="n">
        <v>0.376</v>
      </c>
      <c r="D27" s="8" t="n">
        <v>4.173</v>
      </c>
    </row>
    <row r="28">
      <c r="A28" t="inlineStr">
        <is>
          <t>St. Louis Cardinals</t>
        </is>
      </c>
      <c r="B28" s="8" t="n">
        <v>0.312</v>
      </c>
      <c r="C28" s="8" t="n">
        <v>0.392</v>
      </c>
      <c r="D28" s="8" t="n">
        <v>4.148</v>
      </c>
    </row>
    <row r="29">
      <c r="A29" t="inlineStr">
        <is>
          <t>Tampa Bay Rays</t>
        </is>
      </c>
      <c r="B29" s="8" t="n">
        <v>0.302</v>
      </c>
      <c r="C29" s="8" t="n">
        <v>0.366</v>
      </c>
      <c r="D29" s="8" t="n">
        <v>3.728</v>
      </c>
    </row>
    <row r="30">
      <c r="A30" t="inlineStr">
        <is>
          <t>Texas Rangers</t>
        </is>
      </c>
      <c r="B30" s="8" t="n">
        <v>0.305</v>
      </c>
      <c r="C30" s="8" t="n">
        <v>0.38</v>
      </c>
      <c r="D30" s="8" t="n">
        <v>4.216</v>
      </c>
    </row>
    <row r="31">
      <c r="A31" t="inlineStr">
        <is>
          <t>Toronto Blue Jays</t>
        </is>
      </c>
      <c r="B31" s="8" t="n">
        <v>0.313</v>
      </c>
      <c r="C31" s="8" t="n">
        <v>0.389</v>
      </c>
      <c r="D31" s="8" t="n">
        <v>4.142</v>
      </c>
    </row>
    <row r="32">
      <c r="A32" t="inlineStr">
        <is>
          <t>Washington Nationals</t>
        </is>
      </c>
      <c r="B32" s="8" t="n">
        <v>0.309</v>
      </c>
      <c r="C32" s="8" t="n">
        <v>0.375</v>
      </c>
      <c r="D32" s="8" t="n">
        <v>4.074</v>
      </c>
    </row>
    <row r="34">
      <c r="A34" s="1" t="inlineStr">
        <is>
          <t>Select a single cell and type each INDEX(LINEST(...)) formula; there is no need to fill a block or press anything other than Enter.</t>
        </is>
      </c>
    </row>
  </sheetData>
  <conditionalFormatting sqref="H3">
    <cfRule type="expression" priority="1" dxfId="0">
      <formula>AND(ISNUMBER(G3),ABS(G3-(18.910622))&lt;=MAX(0.02*ABS(18.910622),0.02))</formula>
    </cfRule>
  </conditionalFormatting>
  <conditionalFormatting sqref="H4">
    <cfRule type="expression" priority="2" dxfId="0">
      <formula>AND(ISNUMBER(G4),ABS(G4-(9.290201))&lt;=MAX(0.02*ABS(9.290201),0.02))</formula>
    </cfRule>
  </conditionalFormatting>
  <conditionalFormatting sqref="H5">
    <cfRule type="expression" priority="3" dxfId="0">
      <formula>AND(ISNUMBER(G5),ABS(G5-(-5.210607))&lt;=MAX(0.02*ABS(-5.210607),0.02))</formula>
    </cfRule>
  </conditionalFormatting>
  <conditionalFormatting sqref="H6">
    <cfRule type="expression" priority="4" dxfId="0">
      <formula>AND(ISNUMBER(G6),ABS(G6-(3.816157))&lt;=MAX(0.02*ABS(3.816157),0.01))</formula>
    </cfRule>
  </conditionalFormatting>
  <conditionalFormatting sqref="H7">
    <cfRule type="expression" priority="5" dxfId="0">
      <formula>AND(ISNUMBER(G7),ABS(G7-(1.941532))&lt;=MAX(0.02*ABS(1.941532),0.01))</formula>
    </cfRule>
  </conditionalFormatting>
  <conditionalFormatting sqref="H8">
    <cfRule type="expression" priority="6" dxfId="0">
      <formula>AND(ISNUMBER(G8),ABS(G8-(4.95541))&lt;=MAX(0.02*ABS(4.95541),0.01))</formula>
    </cfRule>
  </conditionalFormatting>
  <conditionalFormatting sqref="H9">
    <cfRule type="expression" priority="7" dxfId="0">
      <formula>AND(ISNUMBER(G9),ABS(G9-(4.78498))&lt;=MAX(0.02*ABS(4.78498),0.01))</formula>
    </cfRule>
  </conditionalFormatting>
  <conditionalFormatting sqref="H10">
    <cfRule type="expression" priority="8" dxfId="0">
      <formula>AND(ISNUMBER(G10),ABS(G10-(0.0000343))&lt;=MAX(0.02*ABS(0.0000343),0.0005))</formula>
    </cfRule>
  </conditionalFormatting>
  <conditionalFormatting sqref="H11">
    <cfRule type="expression" priority="9" dxfId="0">
      <formula>AND(ISNUMBER(G11),ABS(G11-(0.0000543))&lt;=MAX(0.02*ABS(0.0000543),0.0005))</formula>
    </cfRule>
  </conditionalFormatting>
  <conditionalFormatting sqref="H12">
    <cfRule type="expression" priority="10" dxfId="0">
      <formula>AND(ISNUMBER(G12),ABS(G12-(0.926295))&lt;=MAX(0.02*ABS(0.926295),0.005))</formula>
    </cfRule>
  </conditionalFormatting>
  <conditionalFormatting sqref="H13">
    <cfRule type="expression" priority="11" dxfId="0">
      <formula>AND(ISNUMBER(G13),ABS(G13-(_xlfn.STDEV.S($B$3:$B$32)))&lt;=MAX(0.02*ABS(_xlfn.STDEV.S($B$3:$B$32)),0.0002))</formula>
    </cfRule>
  </conditionalFormatting>
  <conditionalFormatting sqref="H14">
    <cfRule type="expression" priority="12" dxfId="0">
      <formula>AND(ISNUMBER(G14),ABS(G14-(_xlfn.STDEV.S($C$3:$C$32)))&lt;=MAX(0.02*ABS(_xlfn.STDEV.S($C$3:$C$32)),0.0002))</formula>
    </cfRule>
  </conditionalFormatting>
  <conditionalFormatting sqref="H15">
    <cfRule type="expression" priority="13" dxfId="0">
      <formula>AND(ISNUMBER(G15),ABS(G15-(0.236701))&lt;=MAX(0.02*ABS(0.236701),0.005))</formula>
    </cfRule>
  </conditionalFormatting>
  <conditionalFormatting sqref="H16">
    <cfRule type="expression" priority="14" dxfId="0">
      <formula>AND(ISNUMBER(G16),ABS(G16-(0.228561))&lt;=MAX(0.02*ABS(0.228561),0.005))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2026-09-18T19:01:45Z</dcterms:created>
  <dcterms:modified xmlns:dcterms="http://purl.org/dc/terms/" xmlns:xsi="http://www.w3.org/2001/XMLSchema-instance" xsi:type="dcterms:W3CDTF">2026-09-18T19:01:45Z</dcterms:modified>
</cp:coreProperties>
</file>